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tunjuk" sheetId="1" r:id="rId4"/>
    <sheet name="Ringkasan" sheetId="2" r:id="rId5"/>
    <sheet name="Web Admin" sheetId="3" r:id="rId6"/>
    <sheet name="API Mobile" sheetId="4" r:id="rId7"/>
    <sheet name="Laporan" sheetId="5" r:id="rId8"/>
    <sheet name="Skenario Bisnis" sheetId="6" r:id="rId9"/>
    <sheet name="Bug Log" sheetId="7" r:id="rId10"/>
  </sheets>
  <definedNames>
    <definedName name="_xlnm._FilterDatabase" localSheetId="2" hidden="1">'Web Admin'!$A$1:$N$70</definedName>
    <definedName name="_xlnm._FilterDatabase" localSheetId="3" hidden="1">'API Mobile'!$A$1:$N$27</definedName>
    <definedName name="_xlnm._FilterDatabase" localSheetId="4" hidden="1">'Laporan'!$A$1:$N$18</definedName>
    <definedName name="_xlnm._FilterDatabase" localSheetId="5" hidden="1">'Skenario Bisnis'!$A$1:$N$14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<sst xmlns="http://schemas.openxmlformats.org/spreadsheetml/2006/main" uniqueCount="809">
  <si>
    <t>Skenario Uji QA — Presensi Proyek (Web Admin, API Mobile, Laporan)</t>
  </si>
  <si>
    <t>Versi aplikasi: Fase 1–3 · Dibuat: 2 Oktober 2026</t>
  </si>
  <si>
    <t>LINGKUNGAN UJI</t>
  </si>
  <si>
    <t>Web admin</t>
  </si>
  <si>
    <t>http://&lt;server&gt;/login (lokal: http://127.0.0.1:8000/login)</t>
  </si>
  <si>
    <t>API mobile</t>
  </si>
  <si>
    <t>http://&lt;server&gt;/api/v1 — dokumentasi: docs/api/API_MOBILE.md</t>
  </si>
  <si>
    <t>Simulasi aplikasi mobile</t>
  </si>
  <si>
    <t>Aplikasi Flutter belum dibuat. Uji sisi mobile memakai koleksi Postman docs/api/Presensi_Proyek_API.postman_collection.json + environment Presensi_Proyek_Local (lihat deskripsi koleksi).</t>
  </si>
  <si>
    <t>Reset data uji</t>
  </si>
  <si>
    <t>cd backend → php artisan migrate:fresh --seed (data demo: proyek KDR, 9 karyawan, 270 presensi Bulan ke-1 dari ABSENSI BULAN 1.pdf)</t>
  </si>
  <si>
    <t>Login per peran</t>
  </si>
  <si>
    <t>Daftar lengkap &amp; langkah migrasi data awal: halaman web dokumentasi API (docs/api/API_MOBILE.html, bagian 8–9)</t>
  </si>
  <si>
    <t>Perintah server</t>
  </si>
  <si>
    <t>php artisan attendance:close-day &lt;Y-m-d&gt;  → tandai alpha/libur
php artisan attendance:flag-missing-checkout → tandai lupa check-out
php artisan schedule:work → jalankan scheduler &amp; antrean laporan</t>
  </si>
  <si>
    <t>AKUN UJI</t>
  </si>
  <si>
    <t>Username</t>
  </si>
  <si>
    <t>Password</t>
  </si>
  <si>
    <t>Peran</t>
  </si>
  <si>
    <t>admin</t>
  </si>
  <si>
    <t>password</t>
  </si>
  <si>
    <t>Super admin (web)</t>
  </si>
  <si>
    <t>admin.kdr</t>
  </si>
  <si>
    <t>Admin proyek KDR (web)</t>
  </si>
  <si>
    <t>edi.santoso</t>
  </si>
  <si>
    <t>Presensi#2026</t>
  </si>
  <si>
    <t>Team Leader proyek KDR (web terbatas + mobile)</t>
  </si>
  <si>
    <t>agus.irawan, budiarto, puguh.sarwono, danang.trisno, …</t>
  </si>
  <si>
    <t>Karyawan (mobile)</t>
  </si>
  <si>
    <t>DATA LOKASI</t>
  </si>
  <si>
    <t>Titik proyek KDR: -7.3154, 112.6855 · radius 100 m</t>
  </si>
  <si>
    <t>Dalam radius: -7.31545, 112.68552 · Di luar radius (±500 m): -7.3109, 112.6855</t>
  </si>
  <si>
    <t>CARA MENGISI</t>
  </si>
  <si>
    <t>Isi kolom "Hasil aktual", pilih "Status", catat ID bug pada kolom "Bug / catatan" dan detailnya di sheet "Bug Log". Ringkasan terhitung otomatis.</t>
  </si>
  <si>
    <t>Status</t>
  </si>
  <si>
    <t>Belum diuji · Pass · Fail · Blocked (tidak bisa diuji karena prasyarat/bug lain)</t>
  </si>
  <si>
    <t>Prioritas</t>
  </si>
  <si>
    <t>Tinggi = fungsi inti/keamanan · Sedang = fungsi pendukung · Rendah = kosmetik/kenyamanan</t>
  </si>
  <si>
    <t>Urutan disarankan</t>
  </si>
  <si>
    <t>1) API-001 (koleksi Postman otomatis) → 2) WEB → 3) API manual → 4) RPT → 5) BIS. Reset data bila skenario saling mengganggu.</t>
  </si>
  <si>
    <t>Ringkasan Hasil Uji</t>
  </si>
  <si>
    <t>Modul</t>
  </si>
  <si>
    <t>Total kasus</t>
  </si>
  <si>
    <t>Pass</t>
  </si>
  <si>
    <t>Fail</t>
  </si>
  <si>
    <t>Blocked</t>
  </si>
  <si>
    <t>Belum diuji</t>
  </si>
  <si>
    <t>Progres</t>
  </si>
  <si>
    <t>Tingkat lulus</t>
  </si>
  <si>
    <t>Fail prioritas tinggi</t>
  </si>
  <si>
    <t>Web Admin</t>
  </si>
  <si>
    <t>API Mobile</t>
  </si>
  <si>
    <t>Laporan</t>
  </si>
  <si>
    <t>Skenario Bisnis</t>
  </si>
  <si>
    <t>TOTAL</t>
  </si>
  <si>
    <t>Kriteria lulus rilis: 0 kasus Fail berprioritas Tinggi dan tingkat lulus ≥ 95%.</t>
  </si>
  <si>
    <t>ID</t>
  </si>
  <si>
    <t>Fitur</t>
  </si>
  <si>
    <t>Skenario</t>
  </si>
  <si>
    <t>Akun / alat</t>
  </si>
  <si>
    <t>Prasyarat</t>
  </si>
  <si>
    <t>Langkah</t>
  </si>
  <si>
    <t>Data uji</t>
  </si>
  <si>
    <t>Hasil yang diharapkan</t>
  </si>
  <si>
    <t>Hasil aktual</t>
  </si>
  <si>
    <t>Bug / catatan</t>
  </si>
  <si>
    <t>Penguji</t>
  </si>
  <si>
    <t>Tanggal uji</t>
  </si>
  <si>
    <t>WEB-001</t>
  </si>
  <si>
    <t>Login</t>
  </si>
  <si>
    <t>Login super admin berhasil</t>
  </si>
  <si>
    <t>Tinggi</t>
  </si>
  <si>
    <t>admin / password</t>
  </si>
  <si>
    <t>Database demo (migrate:fresh --seed)</t>
  </si>
  <si>
    <t>1. Buka /login
2. Isi username &amp; password
3. Klik Masuk</t>
  </si>
  <si>
    <t>Masuk ke Dashboard proyek KDR; nama "Super Admin" tampil di kanan atas</t>
  </si>
  <si>
    <t>WEB-002</t>
  </si>
  <si>
    <t>Password salah</t>
  </si>
  <si>
    <t>-</t>
  </si>
  <si>
    <t>1. Isi username benar, password salah
2. Klik Masuk</t>
  </si>
  <si>
    <t>admin / salah123</t>
  </si>
  <si>
    <t>Tetap di halaman login dengan pesan "Username atau password salah."</t>
  </si>
  <si>
    <t>WEB-003</t>
  </si>
  <si>
    <t>Pembatasan percobaan login</t>
  </si>
  <si>
    <t>Sedang</t>
  </si>
  <si>
    <t>Login salah 6 kali berturut-turut dengan username yang sama</t>
  </si>
  <si>
    <t>admin / salah</t>
  </si>
  <si>
    <t>Percobaan ke-6 ditolak: "Terlalu banyak percobaan. Coba lagi dalam … detik."</t>
  </si>
  <si>
    <t>WEB-004</t>
  </si>
  <si>
    <t>Akun karyawan biasa ditolak di web</t>
  </si>
  <si>
    <t>agus.irawan / Presensi#2026 (karyawan)</t>
  </si>
  <si>
    <t>Login web memakai akun karyawan</t>
  </si>
  <si>
    <t>agus.irawan</t>
  </si>
  <si>
    <t>Ditolak: "Akun ini hanya untuk aplikasi mobile."</t>
  </si>
  <si>
    <t>WEB-005</t>
  </si>
  <si>
    <t>Hak akses</t>
  </si>
  <si>
    <t>Menu Team Leader terbatas</t>
  </si>
  <si>
    <t>edi.santoso / Presensi#2026 (Team Leader)</t>
  </si>
  <si>
    <t>1. Login sebagai TL
2. Periksa menu sidebar
3. Buka URL /employees dan /settings/project langsung</t>
  </si>
  <si>
    <t>Menu hanya Dashboard, Monitoring Presensi, Persetujuan, Laporan Absensi. URL /employees &amp; /settings/project → halaman 403</t>
  </si>
  <si>
    <t>WEB-006</t>
  </si>
  <si>
    <t>Admin proyek hanya proyek yang ditugaskan</t>
  </si>
  <si>
    <t>Ada ≥ 2 proyek (lihat WEB-062)</t>
  </si>
  <si>
    <t>1. Buat admin proyek untuk proyek KDR saja (WEB-064)
2. Login sebagai admin tsb
3. Buka pemilih proyek &amp; URL /users, /settings/app</t>
  </si>
  <si>
    <t>Pemilih proyek hanya berisi KDR; /users dan /settings/app → 403</t>
  </si>
  <si>
    <t>WEB-007</t>
  </si>
  <si>
    <t>Logout</t>
  </si>
  <si>
    <t>Rendah</t>
  </si>
  <si>
    <t>Sudah login</t>
  </si>
  <si>
    <t>Menu user → Keluar</t>
  </si>
  <si>
    <t>Kembali ke halaman login; tombol Back tidak membuka halaman admin</t>
  </si>
  <si>
    <t>WEB-008</t>
  </si>
  <si>
    <t>Akun</t>
  </si>
  <si>
    <t>Ganti password sendiri</t>
  </si>
  <si>
    <t>1. Menu user → Ganti password
2. Isi password lama salah → Simpan
3. Isi benar + password baru → Simpan
4. Logout &amp; login dengan password baru</t>
  </si>
  <si>
    <t>baru: Admin12345</t>
  </si>
  <si>
    <t>Langkah 2: error di field password lama. Langkah 3: toast "Password berhasil diubah." Langkah 4: login berhasil</t>
  </si>
  <si>
    <t>WEB-009</t>
  </si>
  <si>
    <t>Navigasi</t>
  </si>
  <si>
    <t>Ganti proyek aktif</t>
  </si>
  <si>
    <t>Ada ≥ 2 proyek</t>
  </si>
  <si>
    <t>Klik pemilih proyek di topbar → pilih proyek lain</t>
  </si>
  <si>
    <t>Halaman dimuat ulang dengan data proyek terpilih; kode proyek di topbar berubah</t>
  </si>
  <si>
    <t>WEB-010</t>
  </si>
  <si>
    <t>Tampilan</t>
  </si>
  <si>
    <t>Responsif di layar HP</t>
  </si>
  <si>
    <t>Buka web di HP / mode responsif browser lebar 390 px; tekan ikon menu</t>
  </si>
  <si>
    <t>Sidebar tersembunyi &amp; muncul lewat tombol menu; kartu dan tabel tidak terpotong (tabel bisa digulir / kolom ringkas)</t>
  </si>
  <si>
    <t>WEB-011</t>
  </si>
  <si>
    <t>Dashboard</t>
  </si>
  <si>
    <t>Ringkasan tanggal dengan data</t>
  </si>
  <si>
    <t>Data demo</t>
  </si>
  <si>
    <t>Dashboard → pilih tanggal 20 Mar 2026</t>
  </si>
  <si>
    <t>2026-03-20</t>
  </si>
  <si>
    <t>Tingkat kehadiran 100%, Hadir 9, 9 sudah check-out; grafik 14 hari berisi batang hijau; peta menampilkan lingkaran radius &amp; titik check-in; aktivitas terbaru terisi</t>
  </si>
  <si>
    <t>WEB-012</t>
  </si>
  <si>
    <t>Ganti tanggal &amp; kembali ke hari ini</t>
  </si>
  <si>
    <t>1. Pilih tanggal lain
2. Klik "Hari ini"</t>
  </si>
  <si>
    <t>Ringkasan berubah sesuai tanggal; tombol Hari ini kembali ke tanggal sekarang</t>
  </si>
  <si>
    <t>WEB-013</t>
  </si>
  <si>
    <t>Tampilan tabel grafik</t>
  </si>
  <si>
    <t>Klik ikon tabel di kartu Tren kehadiran</t>
  </si>
  <si>
    <t>Grafik berganti tabel angka per tanggal; klik ikon grafik untuk kembali</t>
  </si>
  <si>
    <t>WEB-014</t>
  </si>
  <si>
    <t>Tombol data terakhir</t>
  </si>
  <si>
    <t>Hari ini belum ada presensi</t>
  </si>
  <si>
    <t>Buka Dashboard</t>
  </si>
  <si>
    <t>Muncul tombol "Data terakhir: &lt;tanggal&gt;" yang membuka tanggal presensi terakhir</t>
  </si>
  <si>
    <t>WEB-015</t>
  </si>
  <si>
    <t>Kartu Perlu tindakan</t>
  </si>
  <si>
    <t>Ada pengajuan izin pending (API-020)</t>
  </si>
  <si>
    <t>Klik baris "Pengajuan izin menunggu"</t>
  </si>
  <si>
    <t>Angka sesuai jumlah pending; klik membuka halaman Persetujuan</t>
  </si>
  <si>
    <t>WEB-016</t>
  </si>
  <si>
    <t>Karyawan</t>
  </si>
  <si>
    <t>Tambah karyawan baru</t>
  </si>
  <si>
    <t>1. Karyawan → Tambah Karyawan
2. Isi nama, ketik jabatan baru, NIK, HP
3. Periksa username terisi otomatis
4. Klik ikon tongkat untuk password acak
5. Isi tanggal mulai → Simpan</t>
  </si>
  <si>
    <t>Rina Kartika, S.T. / jabatan "Ahli K3"</t>
  </si>
  <si>
    <t>Username otomatis "rina.kartika"; karyawan muncul di daftar Aktif; jabatan baru tersedia di menu Jabatan; akun bisa login di API</t>
  </si>
  <si>
    <t>WEB-017</t>
  </si>
  <si>
    <t>Validasi form karyawan</t>
  </si>
  <si>
    <t>Simpan dengan: nama kosong; username sudah dipakai (agus.irawan); password 5 karakter; username berisi huruf besar/spasi</t>
  </si>
  <si>
    <t>Pesan error Bahasa Indonesia di bawah field yang salah; data tidak tersimpan</t>
  </si>
  <si>
    <t>WEB-018</t>
  </si>
  <si>
    <t>Ubah data karyawan</t>
  </si>
  <si>
    <t>1. Klik nama Agus Irawan
2. Periksa isian
3. Ubah No. HP → Simpan</t>
  </si>
  <si>
    <t>Form terisi benar (Mulai bertugas 25 Feb 2026, jabatan Juru Ukur 1); perubahan tersimpan; password kosong = tidak berubah</t>
  </si>
  <si>
    <t>WEB-019</t>
  </si>
  <si>
    <t>Jadikan Team Leader</t>
  </si>
  <si>
    <t>1. Ubah karyawan → aktifkan "Team Leader proyek" → Simpan
2. Login web dengan akun tsb</t>
  </si>
  <si>
    <t>Chip "Team Leader" tampil; akun bisa masuk web dengan menu TL; di API profile.projects[].is_team_leader = true</t>
  </si>
  <si>
    <t>WEB-020</t>
  </si>
  <si>
    <t>Reset password</t>
  </si>
  <si>
    <t>Karyawan sudah login di Postman</t>
  </si>
  <si>
    <t>1. Menu ⋯ → Reset password → konfirmasi
2. Catat password baru
3. Panggil GET /me dengan token lama
4. Login API dengan password lama, lalu password baru</t>
  </si>
  <si>
    <t>Dialog menampilkan username &amp; password baru; token lama → 401; password lama ditolak, password baru berhasil</t>
  </si>
  <si>
    <t>WEB-021</t>
  </si>
  <si>
    <t>Reset perangkat</t>
  </si>
  <si>
    <t>Karyawan sudah login dengan device_id A</t>
  </si>
  <si>
    <t>1. Login API dengan device_id B → ditolak device_mismatch
2. Web: menu ⋯ → Reset perangkat
3. Login API dengan device_id B</t>
  </si>
  <si>
    <t>Langkah 1: 403 device_mismatch. Langkah 3: login berhasil; kolom Perangkat menampilkan perangkat baru</t>
  </si>
  <si>
    <t>WEB-022</t>
  </si>
  <si>
    <t>Nonaktifkan akun</t>
  </si>
  <si>
    <t>1. Ubah karyawan → matikan "Akun aktif" → Simpan
2. Panggil GET /me dengan token lama
3. Coba login lagi</t>
  </si>
  <si>
    <t>Token lama ditolak (401/403 inactive); login ditolak (403 inactive); karyawan pindah ke tab "Berakhir / nonaktif"</t>
  </si>
  <si>
    <t>WEB-023</t>
  </si>
  <si>
    <t>Keluarkan dari proyek (punya riwayat)</t>
  </si>
  <si>
    <t>Menu ⋯ → Keluarkan dari proyek → konfirmasi pada karyawan yang punya presensi</t>
  </si>
  <si>
    <t>budiarto</t>
  </si>
  <si>
    <t>Pesan "Penugasan diakhiri. Riwayat presensi tetap tersimpan."; karyawan ada di tab Berakhir; presensi lama tetap di Monitoring; API presensi → not_assigned</t>
  </si>
  <si>
    <t>WEB-024</t>
  </si>
  <si>
    <t>Tambah karyawan dari proyek lain</t>
  </si>
  <si>
    <t>Proyek kedua ada (WEB-062)</t>
  </si>
  <si>
    <t>1. Buka proyek kedua → Karyawan → Dari proyek lain
2. Cari &amp; pilih karyawan KDR → Tambahkan</t>
  </si>
  <si>
    <t>Karyawan masuk proyek kedua tanpa akun baru; login API menampilkan 2 proyek</t>
  </si>
  <si>
    <t>WEB-025</t>
  </si>
  <si>
    <t>Cari &amp; urutkan tabel</t>
  </si>
  <si>
    <t>Ketik "ahli" di kotak cari; klik header Karyawan / Jabatan</t>
  </si>
  <si>
    <t>Hanya karyawan berjabatan "Ahli…" tampil; urutan berubah naik/turun</t>
  </si>
  <si>
    <t>WEB-026</t>
  </si>
  <si>
    <t>Shift</t>
  </si>
  <si>
    <t>Tambah shift &amp; jadikan default</t>
  </si>
  <si>
    <t>1. Shift &amp; Jam Kerja → Tambah Shift
2. Nama "Shift Pagi" 07:00–16:00, centang Shift default → Simpan</t>
  </si>
  <si>
    <t>Shift baru bertanda Default; shift lama tidak lagi default (hanya satu default)</t>
  </si>
  <si>
    <t>WEB-027</t>
  </si>
  <si>
    <t>Status terlambat aktif</t>
  </si>
  <si>
    <t>admin / password + Postman (koleksi docs/api)</t>
  </si>
  <si>
    <t>1. Ubah Jam Kerja Standard: aktifkan "Hitung status terlambat", toleransi 15 menit
2. Check-in via API setelah 08:15 (atau ubah jam masuk shift ke jam sekarang − 30 menit)</t>
  </si>
  <si>
    <t>Presensi berstatus Terlambat dengan late_minutes sesuai; di Monitoring tampil "+X menit"</t>
  </si>
  <si>
    <t>WEB-028</t>
  </si>
  <si>
    <t>Hapus shift yang dipakai</t>
  </si>
  <si>
    <t>Menu ⋯ → Hapus pada Jam Kerja Standard</t>
  </si>
  <si>
    <t>Ditolak: "Shift default atau yang masih dipakai karyawan tidak bisa dihapus."</t>
  </si>
  <si>
    <t>WEB-029</t>
  </si>
  <si>
    <t>Jendela check-in</t>
  </si>
  <si>
    <t>1. Atur jendela check-in dibuka &amp; ditutup sebelum jam sekarang
2. Check-in online via API</t>
  </si>
  <si>
    <t>API menolak dengan reason checkin_closed / checkin_not_open</t>
  </si>
  <si>
    <t>WEB-030</t>
  </si>
  <si>
    <t>Titik lokasi</t>
  </si>
  <si>
    <t>Tambah titik lewat peta</t>
  </si>
  <si>
    <t>1. Titik Lokasi → Tambah Titik
2. Klik peta, seret penanda, geser slider radius → Simpan</t>
  </si>
  <si>
    <t>Nama "Bendung Kedurus"</t>
  </si>
  <si>
    <t>Koordinat &amp; radius terisi otomatis; lingkaran mengikuti slider; titik muncul di daftar &amp; peta</t>
  </si>
  <si>
    <t>WEB-031</t>
  </si>
  <si>
    <t>Tempel koordinat Google Maps</t>
  </si>
  <si>
    <t>Di form titik: tempel koordinat → Terapkan</t>
  </si>
  <si>
    <t>-7.3154, 112.6855</t>
  </si>
  <si>
    <t>Latitude/longitude terisi dan penanda pindah ke titik tsb. Format salah → peringatan</t>
  </si>
  <si>
    <t>WEB-032</t>
  </si>
  <si>
    <t>Titik aktif terakhir tidak bisa dihapus</t>
  </si>
  <si>
    <t>Hanya 1 titik aktif</t>
  </si>
  <si>
    <t>Hapus / nonaktifkan titik satu-satunya</t>
  </si>
  <si>
    <t>Ditolak: "Minimal harus ada satu titik lokasi aktif…"</t>
  </si>
  <si>
    <t>WEB-033</t>
  </si>
  <si>
    <t>Perubahan radius berlaku di API</t>
  </si>
  <si>
    <t>1. Check-in di lat -7.3109 → ditolak outside_radius
2. Ubah radius ke 600 m
3. Ulangi check-in</t>
  </si>
  <si>
    <t>lat -7.3109, lng 112.6855 (±500 m)</t>
  </si>
  <si>
    <t>Langkah 1 ditolak (jarak 500 m); langkah 3 diterima sebagai Dalam Lokasi</t>
  </si>
  <si>
    <t>WEB-034</t>
  </si>
  <si>
    <t>Hari libur</t>
  </si>
  <si>
    <t>Impor libur nasional 2026</t>
  </si>
  <si>
    <t>Hari Libur → Impor libur nasional 2026 → konfirmasi</t>
  </si>
  <si>
    <t>25 hari libur muncul; kalender menandai tanggal merah (nasional) &amp; kuning (cuti bersama)</t>
  </si>
  <si>
    <t>WEB-035</t>
  </si>
  <si>
    <t>Tambah libur proyek</t>
  </si>
  <si>
    <t>Tambah → tanggal &amp; keterangan, jenis Libur proyek</t>
  </si>
  <si>
    <t>2026-12-31 "Libur akhir tahun proyek"</t>
  </si>
  <si>
    <t>Tampil di daftar &amp; kalender dengan warna utama aplikasi</t>
  </si>
  <si>
    <t>WEB-036</t>
  </si>
  <si>
    <t>Admin proyek tidak bisa membuat libur nasional</t>
  </si>
  <si>
    <t>Admin proyek (WEB-064)</t>
  </si>
  <si>
    <t>Buka form Tambah hari libur</t>
  </si>
  <si>
    <t>Pilihan jenis hanya "Libur proyek"; libur nasional tidak punya tombol ubah/hapus</t>
  </si>
  <si>
    <t>WEB-037</t>
  </si>
  <si>
    <t>Tooltip kalender</t>
  </si>
  <si>
    <t>Libur sudah diimpor</t>
  </si>
  <si>
    <t>Arahkan kursor ke tanggal bertanda</t>
  </si>
  <si>
    <t>Muncul nama hari libur</t>
  </si>
  <si>
    <t>WEB-038</t>
  </si>
  <si>
    <t>Monitoring</t>
  </si>
  <si>
    <t>Filter periode Bulan ke-1</t>
  </si>
  <si>
    <t>Monitoring → Periode: Bulan ke-1</t>
  </si>
  <si>
    <t>Rentang 25 Feb–26 Mar 2026; 270 data (9 karyawan × 30 hari)</t>
  </si>
  <si>
    <t>WEB-039</t>
  </si>
  <si>
    <t>Filter karyawan, status, lokasi, penanda</t>
  </si>
  <si>
    <t>Kombinasikan filter Karyawan, Status, Lokasi, Penanda; lalu tombol reset</t>
  </si>
  <si>
    <t>Tabel hanya menampilkan data sesuai filter; reset mengembalikan ke periode berjalan</t>
  </si>
  <si>
    <t>WEB-040</t>
  </si>
  <si>
    <t>Panel detail presensi</t>
  </si>
  <si>
    <t>Ada presensi dari API (bisa foto)</t>
  </si>
  <si>
    <t>Klik baris / tombol Detail</t>
  </si>
  <si>
    <t>Panel kanan: status, durasi, shift, foto CI/CO (klik membuka ukuran penuh), peta titik CI/CO + radius, koordinat, akurasi, pengiriman online/offline, perangkat, riwayat perubahan</t>
  </si>
  <si>
    <t>WEB-041</t>
  </si>
  <si>
    <t>Koreksi presensi</t>
  </si>
  <si>
    <t>1. Detail → Koreksi presensi
2. Ubah status / jam tanpa alasan → Simpan
3. Isi alasan → Simpan</t>
  </si>
  <si>
    <t>Tanpa alasan ditolak; setelah simpan chip "Koreksi manual", riwayat perubahan mencatat nama admin &amp; nilai baru</t>
  </si>
  <si>
    <t>WEB-042</t>
  </si>
  <si>
    <t>Koreksi pulang lewat tengah malam</t>
  </si>
  <si>
    <t>Koreksi presensi: check-in 08:00, check-out 01:00</t>
  </si>
  <si>
    <t>Durasi 17 jam 0 menit; kolom check-out tampil "01:00 +1 hari"; penanda lupa check-out hilang</t>
  </si>
  <si>
    <t>WEB-043</t>
  </si>
  <si>
    <t>Presensi manual</t>
  </si>
  <si>
    <t>1. Presensi Manual → pilih karyawan, tanggal, status Hadir, jam → alasan → Simpan
2. Ulangi untuk karyawan &amp; tanggal yang sama</t>
  </si>
  <si>
    <t>Data baru muncul bertanda koreksi manual; percobaan kedua ditolak (sudah ada)</t>
  </si>
  <si>
    <t>WEB-044</t>
  </si>
  <si>
    <t>TL hanya bisa melihat</t>
  </si>
  <si>
    <t>Buka Monitoring &amp; detail presensi</t>
  </si>
  <si>
    <t>Tidak ada tombol Presensi Manual maupun Koreksi presensi</t>
  </si>
  <si>
    <t>WEB-045</t>
  </si>
  <si>
    <t>Persetujuan</t>
  </si>
  <si>
    <t>Setujui izin dari web</t>
  </si>
  <si>
    <t>Ada pengajuan pending (API-020)</t>
  </si>
  <si>
    <t>Persetujuan → Setujui → (catatan opsional) → Setujui</t>
  </si>
  <si>
    <t>Status Disetujui oleh nama admin; presensi tanggal tsb di Monitoring berstatus sesuai jenis (Sakit/Izin/Cuti)</t>
  </si>
  <si>
    <t>WEB-046</t>
  </si>
  <si>
    <t>Tolak wajib alasan</t>
  </si>
  <si>
    <t>Ada pengajuan pending</t>
  </si>
  <si>
    <t>Klik tombol ✕ → kosongkan alasan → Tolak</t>
  </si>
  <si>
    <t>Muncul "Catatan wajib diisi."; setelah diisi status Ditolak dengan catatan tampil</t>
  </si>
  <si>
    <t>WEB-047</t>
  </si>
  <si>
    <t>Tab luar lokasi saat approval nonaktif</t>
  </si>
  <si>
    <t>Default proyek</t>
  </si>
  <si>
    <t>Buka tab Luar Lokasi</t>
  </si>
  <si>
    <t>Info "Persetujuan luar lokasi tidak aktif…" dengan tautan ke pengaturan</t>
  </si>
  <si>
    <t>WEB-048</t>
  </si>
  <si>
    <t>Approval presensi luar lokasi</t>
  </si>
  <si>
    <t>Pengaturan: luar lokasi diizinkan untuk semua + perlu persetujuan TL</t>
  </si>
  <si>
    <t>1. Check-in API di luar radius dengan note
2. Web: Persetujuan → tab Luar Lokasi → Setujui</t>
  </si>
  <si>
    <t>Presensi berstatus "Menunggu" lalu "Disetujui"; API offsite_approval = approved</t>
  </si>
  <si>
    <t>WEB-049</t>
  </si>
  <si>
    <t>Badge jumlah di sidebar</t>
  </si>
  <si>
    <t>Ada item pending</t>
  </si>
  <si>
    <t>Proses salah satu item</t>
  </si>
  <si>
    <t>Angka badge Persetujuan di sidebar berkurang</t>
  </si>
  <si>
    <t>WEB-050</t>
  </si>
  <si>
    <t>Pengaturan proyek</t>
  </si>
  <si>
    <t>Ubah informasi proyek</t>
  </si>
  <si>
    <t>Tab Informasi proyek → ubah kota &amp; kontrak → Simpan; coba kode yang sudah dipakai proyek lain</t>
  </si>
  <si>
    <t>Perubahan tersimpan; kode duplikat ditolak</t>
  </si>
  <si>
    <t>WEB-051</t>
  </si>
  <si>
    <t>Pratinjau periode</t>
  </si>
  <si>
    <t>1. Tab Periode: ubah mulai 1, sampai 31, "Bulan yang sama"
2. Lihat pratinjau → kembalikan ke 25 / 26 / Bulan berikutnya → Simpan</t>
  </si>
  <si>
    <t>Pratinjau Bulan ke-1..3 berubah langsung; dengan 25→26 muncul catatan tumpang tindih</t>
  </si>
  <si>
    <t>WEB-052</t>
  </si>
  <si>
    <t>Hari kerja</t>
  </si>
  <si>
    <t>1. Kosongkan semua hari → Simpan
2. Pilih Sen–Jum → Simpan
3. Jalankan php artisan attendance:close-day &lt;tanggal Sabtu&gt;</t>
  </si>
  <si>
    <t>Langkah 1 ditolak; langkah 3: karyawan tanpa presensi di hari Sabtu berstatus Libur, bukan Alpha</t>
  </si>
  <si>
    <t>WEB-053</t>
  </si>
  <si>
    <t>Libur nasional on/off</t>
  </si>
  <si>
    <t>Libur 2026 sudah diimpor</t>
  </si>
  <si>
    <t>Aktifkan "Gunakan libur nasional" lalu buka Hari Libur</t>
  </si>
  <si>
    <t>Banner hari libur berubah menjadi "berlaku"; API config.holidays terisi</t>
  </si>
  <si>
    <t>WEB-054</t>
  </si>
  <si>
    <t>Opsi luar lokasi bergantung toggle utama</t>
  </si>
  <si>
    <t>Tab Lokasi &amp; presensi: matikan / nyalakan "Izinkan presensi di luar lokasi"</t>
  </si>
  <si>
    <t>Opsi turunan menjadi abu-abu &amp; tidak bisa diubah saat mati</t>
  </si>
  <si>
    <t>WEB-055</t>
  </si>
  <si>
    <t>Batas akurasi GPS</t>
  </si>
  <si>
    <t>Set batas akurasi 30 m → check-in API dengan accuracy 40</t>
  </si>
  <si>
    <t>Ditolak low_accuracy dengan data.max = 30</t>
  </si>
  <si>
    <t>WEB-056</t>
  </si>
  <si>
    <t>Validasi batas jam kerja</t>
  </si>
  <si>
    <t>Isi batas jam kerja 5 lalu 40 → Simpan</t>
  </si>
  <si>
    <t>Ditolak (harus 12–36 jam)</t>
  </si>
  <si>
    <t>WEB-057</t>
  </si>
  <si>
    <t>Matikan mode offline</t>
  </si>
  <si>
    <t>Tab Mode offline → matikan → jalankan request "Sinkron batch" di Postman</t>
  </si>
  <si>
    <t>Setiap item ditolak dengan reason offline_not_allowed</t>
  </si>
  <si>
    <t>WEB-058</t>
  </si>
  <si>
    <t>Pengaturan laporan</t>
  </si>
  <si>
    <t>Ubah kota, urutan "Terlama di atas", matikan foto → buat laporan</t>
  </si>
  <si>
    <t>Laporan memakai kota baru, urutan tanggal naik, default tanpa kolom foto</t>
  </si>
  <si>
    <t>WEB-059</t>
  </si>
  <si>
    <t>Penandatangan 2–4 orang</t>
  </si>
  <si>
    <t>1. Tab Penandatangan → Tambah "Mengetahui"
2. Tambah sampai 5 aktif</t>
  </si>
  <si>
    <t>Laporan menampilkan 2 kolom tanda tangan dibagi rata; penandatangan aktif ke-5 ditolak (maks. 4)</t>
  </si>
  <si>
    <t>WEB-060</t>
  </si>
  <si>
    <t>Penandatangan dari data karyawan</t>
  </si>
  <si>
    <t>Form penandatangan → pilih karyawan di "Ambil dari karyawan"</t>
  </si>
  <si>
    <t>Edi Santoso</t>
  </si>
  <si>
    <t>Nama &amp; jabatan terisi otomatis</t>
  </si>
  <si>
    <t>WEB-061</t>
  </si>
  <si>
    <t>Jabatan</t>
  </si>
  <si>
    <t>Kelola jabatan</t>
  </si>
  <si>
    <t>Tambah, ubah, hapus jabatan; coba hapus jabatan yang dipakai</t>
  </si>
  <si>
    <t>CRUD berhasil; tombol hapus jabatan yang dipakai nonaktif / ditolak</t>
  </si>
  <si>
    <t>WEB-062</t>
  </si>
  <si>
    <t>Proyek</t>
  </si>
  <si>
    <t>Buat proyek baru</t>
  </si>
  <si>
    <t>Daftar Proyek → Proyek Baru → isi kode, nama, zona waktu → Simpan</t>
  </si>
  <si>
    <t>Kode "UJI", zona WITA</t>
  </si>
  <si>
    <t>Diarahkan ke Titik Lokasi proyek baru; shift "Jam Kerja Standard" otomatis ada; proyek muncul di pemilih proyek</t>
  </si>
  <si>
    <t>WEB-063</t>
  </si>
  <si>
    <t>Nonaktifkan proyek</t>
  </si>
  <si>
    <t>Karyawan ditugaskan di proyek</t>
  </si>
  <si>
    <t>Ubah proyek → matikan aktif → check-in API</t>
  </si>
  <si>
    <t>Kartu proyek bertanda Nonaktif; API presensi → not_assigned</t>
  </si>
  <si>
    <t>WEB-064</t>
  </si>
  <si>
    <t>Pengguna admin</t>
  </si>
  <si>
    <t>Tambah admin proyek</t>
  </si>
  <si>
    <t>1. Pengguna Admin → Tambah → peran Admin proyek tanpa proyek → Simpan
2. Pilih proyek → Simpan</t>
  </si>
  <si>
    <t>Langkah 1 ditolak "Pilih minimal satu proyek…"; langkah 2 berhasil, chip kode proyek tampil</t>
  </si>
  <si>
    <t>WEB-065</t>
  </si>
  <si>
    <t>Tidak bisa menonaktifkan diri sendiri</t>
  </si>
  <si>
    <t>Ubah akun sendiri (bertanda "Anda") → matikan aktif / ubah peran → Simpan</t>
  </si>
  <si>
    <t>Ditolak: "Anda tidak bisa menonaktifkan atau menurunkan peran akun sendiri."</t>
  </si>
  <si>
    <t>WEB-066</t>
  </si>
  <si>
    <t>Pengaturan aplikasi</t>
  </si>
  <si>
    <t>Warna utama</t>
  </si>
  <si>
    <t>Pilih warna lain → lihat pratinjau → Simpan</t>
  </si>
  <si>
    <t>#0f766e</t>
  </si>
  <si>
    <t>Pratinjau berubah seketika; setelah simpan tombol, menu aktif, &amp; halaman login memakai warna baru</t>
  </si>
  <si>
    <t>WEB-067</t>
  </si>
  <si>
    <t>Logo</t>
  </si>
  <si>
    <t>Unggah logo PNG persegi → Simpan; lalu Hapus logo → Simpan; coba file &gt; 1 MB</t>
  </si>
  <si>
    <t>Logo tampil di sidebar, login, favicon; hapus kembali ke inisial; file besar ditolak</t>
  </si>
  <si>
    <t>WEB-068</t>
  </si>
  <si>
    <t>Matikan satu akun satu perangkat</t>
  </si>
  <si>
    <t>Matikan "Satu akun, satu perangkat" → login API dengan device_id lain</t>
  </si>
  <si>
    <t>Login berhasil (tidak device_mismatch)</t>
  </si>
  <si>
    <t>WEB-069</t>
  </si>
  <si>
    <t>Versi minimum aplikasi</t>
  </si>
  <si>
    <t>Ubah versi minimum ke 1.2.0 → GET /app/info; isi "1.2" → Simpan</t>
  </si>
  <si>
    <t>API mengembalikan min_app_version 1.2.0; format salah ditolak</t>
  </si>
  <si>
    <t>API-001</t>
  </si>
  <si>
    <t>Koleksi Postman</t>
  </si>
  <si>
    <t>Jalankan seluruh koleksi otomatis</t>
  </si>
  <si>
    <t>Postman (koleksi docs/api)</t>
  </si>
  <si>
    <t>DB direset; server berjalan; sample-selfie.jpg di working directory</t>
  </si>
  <si>
    <t>Collection Runner (atau newman) seluruh koleksi berurutan</t>
  </si>
  <si>
    <t>Environment Presensi_Proyek_Local</t>
  </si>
  <si>
    <t>41 request, 163 assertion lulus, 0 gagal</t>
  </si>
  <si>
    <t>API-002</t>
  </si>
  <si>
    <t>Login &amp; profil</t>
  </si>
  <si>
    <t>POST /auth/login → GET /me</t>
  </si>
  <si>
    <t>Token diterima; profil berisi nama, jabatan, proyek KDR, is_team_leader false</t>
  </si>
  <si>
    <t>API-003</t>
  </si>
  <si>
    <t>Satu akun satu perangkat</t>
  </si>
  <si>
    <t>Login dengan device_id A</t>
  </si>
  <si>
    <t>Login dengan device_id B</t>
  </si>
  <si>
    <t>403 device_mismatch</t>
  </si>
  <si>
    <t>API-004</t>
  </si>
  <si>
    <t>Login ulang di perangkat yang sama mencabut token lama</t>
  </si>
  <si>
    <t>Token lama tersimpan</t>
  </si>
  <si>
    <t>Login lagi dengan device_id sama → GET /me memakai token lama</t>
  </si>
  <si>
    <t>Token lama 401; token baru berlaku</t>
  </si>
  <si>
    <t>API-005</t>
  </si>
  <si>
    <t>Rate limit login</t>
  </si>
  <si>
    <t>Kirim POST /auth/login 11 kali dalam 1 menit</t>
  </si>
  <si>
    <t>Request ke-11 → 429 reason http_429</t>
  </si>
  <si>
    <t>API-006</t>
  </si>
  <si>
    <t>Konfigurasi</t>
  </si>
  <si>
    <t>Konfigurasi proyek</t>
  </si>
  <si>
    <t>GET /projects/1/config</t>
  </si>
  <si>
    <t>locations, shift, rules, holidays sesuai pengaturan web</t>
  </si>
  <si>
    <t>API-007</t>
  </si>
  <si>
    <t>Presensi</t>
  </si>
  <si>
    <t>Check-in dalam lokasi</t>
  </si>
  <si>
    <t>Belum check-in hari ini</t>
  </si>
  <si>
    <t>POST /attendance/check-in koordinat -7.31545, 112.68552</t>
  </si>
  <si>
    <t>201; mode onsite; distance_m kecil; foto bisa dibuka lewat thumb_url</t>
  </si>
  <si>
    <t>API-008</t>
  </si>
  <si>
    <t>Di luar radius</t>
  </si>
  <si>
    <t>Luar lokasi tidak diizinkan</t>
  </si>
  <si>
    <t>Check-in di -7.3109, 112.6855</t>
  </si>
  <si>
    <t>422 outside_radius; data.distance_m ≈ 500, radius_m 100</t>
  </si>
  <si>
    <t>API-009</t>
  </si>
  <si>
    <t>Lokasi palsu</t>
  </si>
  <si>
    <t>Check-in dengan is_mock=true</t>
  </si>
  <si>
    <t>403 mock_location</t>
  </si>
  <si>
    <t>API-010</t>
  </si>
  <si>
    <t>Akurasi GPS rendah</t>
  </si>
  <si>
    <t>Check-in online dengan accuracy=150</t>
  </si>
  <si>
    <t>422 low_accuracy; data.accuracy 150, data.max 50</t>
  </si>
  <si>
    <t>API-011</t>
  </si>
  <si>
    <t>Kirim ulang uuid sama (idempotent)</t>
  </si>
  <si>
    <t>Sudah check-in dengan uuid X</t>
  </si>
  <si>
    <t>Kirim lagi check-in dengan uuid X</t>
  </si>
  <si>
    <t>200 dengan id presensi yang sama; tidak ada data ganda di Monitoring</t>
  </si>
  <si>
    <t>API-012</t>
  </si>
  <si>
    <t>Check-in kedua di hari yang sama</t>
  </si>
  <si>
    <t>Sudah check-in</t>
  </si>
  <si>
    <t>Check-in dengan uuid baru</t>
  </si>
  <si>
    <t>409 already_checked_in</t>
  </si>
  <si>
    <t>API-013</t>
  </si>
  <si>
    <t>Check-out &amp; durasi</t>
  </si>
  <si>
    <t>POST /attendance/check-out</t>
  </si>
  <si>
    <t>200; duration_minutes &amp; duration_label terisi; tampil di Monitoring web</t>
  </si>
  <si>
    <t>API-014</t>
  </si>
  <si>
    <t>Luar lokasi diizinkan (hanya ditandai)</t>
  </si>
  <si>
    <t>agus.irawan / Presensi#2026 (karyawan) + admin / password</t>
  </si>
  <si>
    <t>Web: izinkan luar lokasi untuk semua karyawan, approval mati</t>
  </si>
  <si>
    <t>1. Check-in di luar radius tanpa note
2. Ulangi dengan note</t>
  </si>
  <si>
    <t>note "Survei titik BM-12"</t>
  </si>
  <si>
    <t>Langkah 1: 422 note_required. Langkah 2: 201, mode offsite, offsite_approval none, pesan "(Luar Lokasi)"</t>
  </si>
  <si>
    <t>API-015</t>
  </si>
  <si>
    <t>Karyawan tidak ditugaskan</t>
  </si>
  <si>
    <t>Penugasan diakhiri (WEB-023) atau proyek nonaktif</t>
  </si>
  <si>
    <t>Check-in</t>
  </si>
  <si>
    <t>403 not_assigned</t>
  </si>
  <si>
    <t>API-016</t>
  </si>
  <si>
    <t>Offline</t>
  </si>
  <si>
    <t>Sinkron batch</t>
  </si>
  <si>
    <t>Belum ada presensi kemarin</t>
  </si>
  <si>
    <t>Request "Sinkron batch" di koleksi (kemarin 08:00 &amp; 17:00 + 1 item 10 hari lalu)</t>
  </si>
  <si>
    <t>Item 1–2 sukses (offline=true, durasi 9 jam), item 3 offline_expired; data kemarin tampil di Monitoring dengan ikon offline</t>
  </si>
  <si>
    <t>API-017</t>
  </si>
  <si>
    <t>Waktu offline di masa depan</t>
  </si>
  <si>
    <t>Sync item dengan captured_at = besok</t>
  </si>
  <si>
    <t>Item ditolak reason invalid_time</t>
  </si>
  <si>
    <t>API-018</t>
  </si>
  <si>
    <t>Kirim ulang batch yang sama</t>
  </si>
  <si>
    <t>API-016 sudah dijalankan</t>
  </si>
  <si>
    <t>Kirim ulang item dengan uuid yang sama</t>
  </si>
  <si>
    <t>Sukses tanpa data ganda</t>
  </si>
  <si>
    <t>API-019</t>
  </si>
  <si>
    <t>Riwayat</t>
  </si>
  <si>
    <t>Riwayat per periode</t>
  </si>
  <si>
    <t>GET /attendance/history?project_id=1&amp;from=2026-02-25&amp;to=2026-03-26</t>
  </si>
  <si>
    <t>summary.hadir = 30; items urut tanggal terbaru</t>
  </si>
  <si>
    <t>API-020</t>
  </si>
  <si>
    <t>Izin</t>
  </si>
  <si>
    <t>Ajukan sakit dengan lampiran</t>
  </si>
  <si>
    <t>POST /leave-requests (multipart) type=sakit + attachment PDF</t>
  </si>
  <si>
    <t>201 status pending; lampiran bisa dibuka dari web Persetujuan</t>
  </si>
  <si>
    <t>API-021</t>
  </si>
  <si>
    <t>Pengajuan bertabrakan</t>
  </si>
  <si>
    <t>Ajukan lagi di tanggal yang beririsan</t>
  </si>
  <si>
    <t>422 overlap</t>
  </si>
  <si>
    <t>API-022</t>
  </si>
  <si>
    <t>Team Leader</t>
  </si>
  <si>
    <t>Kehadiran tim &amp; persetujuan</t>
  </si>
  <si>
    <t>GET /team/today → GET /approvals → PATCH /approvals/leave/{id} approve</t>
  </si>
  <si>
    <t>Ringkasan tim benar; pengajuan muncul; setelah approve status approved, approve ulang → 409 already_processed</t>
  </si>
  <si>
    <t>API-023</t>
  </si>
  <si>
    <t>Karyawan biasa tidak bisa akses menu tim</t>
  </si>
  <si>
    <t>GET /team/today</t>
  </si>
  <si>
    <t>403 "Khusus Team Leader proyek ini."</t>
  </si>
  <si>
    <t>API-024</t>
  </si>
  <si>
    <t>Foto</t>
  </si>
  <si>
    <t>Hak akses foto</t>
  </si>
  <si>
    <t>agus.irawan / Presensi#2026 (karyawan) + karyawan lain</t>
  </si>
  <si>
    <t>Agus punya presensi berfoto</t>
  </si>
  <si>
    <t>Login sebagai budiarto → GET /attendance/{id Agus}/photo/in</t>
  </si>
  <si>
    <t>403; pemilik &amp; TL bisa membuka (200 image/jpeg)</t>
  </si>
  <si>
    <t>API-025</t>
  </si>
  <si>
    <t>Shift malam</t>
  </si>
  <si>
    <t>Check-in saat shift kemarin masih terbuka</t>
  </si>
  <si>
    <t>Check-in kemarin sore tanpa check-out (mis. sync offline check-in kemarin 14:00)</t>
  </si>
  <si>
    <t>1. Check-in hari ini pagi (masih &lt; 20 jam)
2. Ulangi dengan abandon_previous=true</t>
  </si>
  <si>
    <t>Langkah 1: 409 open_previous_shift + data.work_date kemarin. Langkah 2: 201; presensi kemarin bertanda lupa check-out</t>
  </si>
  <si>
    <t>API-026</t>
  </si>
  <si>
    <t>Sesi</t>
  </si>
  <si>
    <t>POST /auth/logout → GET /me</t>
  </si>
  <si>
    <t>200 lalu 401 unauthenticated</t>
  </si>
  <si>
    <t>RPT-001</t>
  </si>
  <si>
    <t>Individual</t>
  </si>
  <si>
    <t>Format sama dengan laporan acuan</t>
  </si>
  <si>
    <t>Data demo; foto dimatikan/dinyalakan</t>
  </si>
  <si>
    <t>Laporan Absensi → Individual → Bulan ke-1 → Edi Santoso → Buat</t>
  </si>
  <si>
    <t>Bandingkan dengan ABSENSI BULAN 1.pdf</t>
  </si>
  <si>
    <t>Judul, periode 25/02/2026 - 26/03/2026, Tipe Laporan: Individual; kolom &amp; urutan sama; jam HH:MM:SS; koordinat 4 desimal; durasi "9 jam 28 menit" (26/03)</t>
  </si>
  <si>
    <t>RPT-002</t>
  </si>
  <si>
    <t>Semua karyawan</t>
  </si>
  <si>
    <t>PDF gabungan</t>
  </si>
  <si>
    <t>Data demo, foto aktif</t>
  </si>
  <si>
    <t>Semua karyawan → Bulan ke-1 → Buat</t>
  </si>
  <si>
    <t>36 halaman (sama dengan acuan); urutan Team Leader dulu; setiap karyawan dimulai di halaman baru</t>
  </si>
  <si>
    <t>RPT-003</t>
  </si>
  <si>
    <t>Header tabel berulang</t>
  </si>
  <si>
    <t>Buka PDF gabungan, lihat halaman 2–4</t>
  </si>
  <si>
    <t>Header biru muda muncul di setiap halaman; baris berselang abu-abu; garis tabel hitam</t>
  </si>
  <si>
    <t>RPT-004</t>
  </si>
  <si>
    <t>Tanda tangan</t>
  </si>
  <si>
    <t>Satu penandatangan</t>
  </si>
  <si>
    <t>1 penandatangan aktif</t>
  </si>
  <si>
    <t>Lihat halaman terakhir tiap karyawan</t>
  </si>
  <si>
    <t>Blok kanan: "Surabaya, 26 Maret 2026", "Dibuat", nama KSO, nama bergaris bawah, jabatan miring</t>
  </si>
  <si>
    <t>RPT-005</t>
  </si>
  <si>
    <t>2–4 penandatangan</t>
  </si>
  <si>
    <t>Buat laporan lagi</t>
  </si>
  <si>
    <t>Kolom tanda tangan dibagi rata; kota &amp; tanggal di atas kolom paling kanan</t>
  </si>
  <si>
    <t>RPT-006</t>
  </si>
  <si>
    <t>Opsi</t>
  </si>
  <si>
    <t>Tanpa foto</t>
  </si>
  <si>
    <t>Matikan "Sertakan foto" → Buat</t>
  </si>
  <si>
    <t>Kolom Foto tidak ada; ukuran berkas lebih kecil</t>
  </si>
  <si>
    <t>RPT-007</t>
  </si>
  <si>
    <t>Periode</t>
  </si>
  <si>
    <t>Rentang tanggal bebas</t>
  </si>
  <si>
    <t>1. Rentang tanggal 1–15 Mar 2026 → Buat
2. Rentang &gt; 93 hari</t>
  </si>
  <si>
    <t>Periode di judul mengikuti rentang; &gt; 93 hari ditolak</t>
  </si>
  <si>
    <t>RPT-008</t>
  </si>
  <si>
    <t>Rekap</t>
  </si>
  <si>
    <t>Rekap PDF</t>
  </si>
  <si>
    <t>Libur nasional aktif (opsional)</t>
  </si>
  <si>
    <t>Rekap → PDF → Bulan ke-1</t>
  </si>
  <si>
    <t>Matriks 9 karyawan × 30 tanggal berisi H; total H = 30; total jam; legenda; kolom hari libur diarsir</t>
  </si>
  <si>
    <t>RPT-009</t>
  </si>
  <si>
    <t>Rekap Excel</t>
  </si>
  <si>
    <t>Rekap → Excel → Bulan ke-1 → buka di Excel</t>
  </si>
  <si>
    <t>Sheet "Rekap" (warna per status, kolom beku) &amp; "Detail" (filter aktif, 270 baris); total jam desimal</t>
  </si>
  <si>
    <t>RPT-010</t>
  </si>
  <si>
    <t>Isi</t>
  </si>
  <si>
    <t>Pulang lewat tengah malam</t>
  </si>
  <si>
    <t>WEB-042 dilakukan</t>
  </si>
  <si>
    <t>Buat laporan individual karyawan tsb</t>
  </si>
  <si>
    <t>Kolom check-out "01:00:00 (+1)"; durasi 17 jam 0 menit</t>
  </si>
  <si>
    <t>RPT-011</t>
  </si>
  <si>
    <t>Keterangan status</t>
  </si>
  <si>
    <t>Ada presensi luar lokasi / hari libur / lupa check-out</t>
  </si>
  <si>
    <t>Buat laporan</t>
  </si>
  <si>
    <t>Kolom Status menampilkan keterangan kecil: Luar lokasi / Hari libur / Lupa check-out; rekap menandai "*" untuk luar lokasi</t>
  </si>
  <si>
    <t>RPT-012</t>
  </si>
  <si>
    <t>Antrean</t>
  </si>
  <si>
    <t>Laporan besar diproses di latar belakang</t>
  </si>
  <si>
    <t>.env REPORT_SYNC_MAX_ROWS=10; php artisan config:clear</t>
  </si>
  <si>
    <t>1. Semua karyawan → Buat
2. Jalankan php artisan schedule:work</t>
  </si>
  <si>
    <t>Riwayat menampilkan "Antre" lalu otomatis "Siap" setelah scheduler berjalan (tanpa muat ulang halaman)</t>
  </si>
  <si>
    <t>RPT-013</t>
  </si>
  <si>
    <t>Lihat &amp; unduh</t>
  </si>
  <si>
    <t>Ada laporan siap</t>
  </si>
  <si>
    <t>Klik Lihat (PDF) dan Unduh</t>
  </si>
  <si>
    <t>PDF terbuka di tab baru; unduhan bernama "Laporan Absensi - KDR - Bulan ke-1 - … .pdf"</t>
  </si>
  <si>
    <t>RPT-014</t>
  </si>
  <si>
    <t>Hapus laporan</t>
  </si>
  <si>
    <t>Klik ikon hapus → konfirmasi</t>
  </si>
  <si>
    <t>Hilang dari riwayat</t>
  </si>
  <si>
    <t>RPT-015</t>
  </si>
  <si>
    <t>Team Leader membuat laporan</t>
  </si>
  <si>
    <t>Login web TL → Laporan → Rekap</t>
  </si>
  <si>
    <t>Laporan proyeknya berhasil dibuat</t>
  </si>
  <si>
    <t>RPT-016</t>
  </si>
  <si>
    <t>Pengaturan</t>
  </si>
  <si>
    <t>Urutan tanggal naik</t>
  </si>
  <si>
    <t>WEB-058 (Terlama di atas)</t>
  </si>
  <si>
    <t>Buat laporan individual</t>
  </si>
  <si>
    <t>Baris pertama = tanggal paling awal (25/02/2026)</t>
  </si>
  <si>
    <t>RPT-017</t>
  </si>
  <si>
    <t>Validasi</t>
  </si>
  <si>
    <t>Excel hanya untuk rekap</t>
  </si>
  <si>
    <t>Pilih Individual / Semua karyawan</t>
  </si>
  <si>
    <t>Pilihan format Excel tidak tersedia</t>
  </si>
  <si>
    <t>BIS-001</t>
  </si>
  <si>
    <t>Pulang lewat tengah malam (waktu nyata)</t>
  </si>
  <si>
    <t>Lakukan pada malam hari</t>
  </si>
  <si>
    <t>1. Check-in sekitar 20:00
2. Setelah 00:00: GET /attendance/today
3. Check-out (mis. 01:00)
4. Pagi: check-in hari baru</t>
  </si>
  <si>
    <t>Langkah 2: attendance null, open_attendance = tanggal kemarin. Langkah 3: menutup presensi kemarin, next_day true. Langkah 4: presensi baru di tanggal hari ini. Laporan: "(+1)"</t>
  </si>
  <si>
    <t>BIS-002</t>
  </si>
  <si>
    <t>Lupa check-out</t>
  </si>
  <si>
    <t>Penandaan otomatis</t>
  </si>
  <si>
    <t>agus.irawan / Presensi#2026 (karyawan) + server</t>
  </si>
  <si>
    <t>Ada check-in &gt; 20 jam lalu tanpa check-out</t>
  </si>
  <si>
    <t>Jalankan php artisan attendance:flag-missing-checkout</t>
  </si>
  <si>
    <t>Presensi bertanda "Lupa check-out" di Monitoring &amp; dashboard (Perlu tindakan); check-out via API → 409 no_checkin</t>
  </si>
  <si>
    <t>BIS-003</t>
  </si>
  <si>
    <t>Tutup hari</t>
  </si>
  <si>
    <t>Alpha otomatis</t>
  </si>
  <si>
    <t>server</t>
  </si>
  <si>
    <t>Karyawan tanpa presensi di tanggal X (hari kerja)</t>
  </si>
  <si>
    <t>php artisan attendance:close-day X</t>
  </si>
  <si>
    <t>2026-10-01</t>
  </si>
  <si>
    <t>Karyawan tanpa presensi berstatus Alpha; dijalankan ulang tidak membuat data ganda</t>
  </si>
  <si>
    <t>BIS-004</t>
  </si>
  <si>
    <t>Data offline menimpa Alpha</t>
  </si>
  <si>
    <t>BIS-003 menghasilkan Alpha untuk tanggal X</t>
  </si>
  <si>
    <t>Sync offline check-in/out bertanggal X (≤ 72 jam)</t>
  </si>
  <si>
    <t>Status Alpha berubah menjadi Hadir dengan penanda offline</t>
  </si>
  <si>
    <t>BIS-005</t>
  </si>
  <si>
    <t>Izin disetujui mempengaruhi presensi</t>
  </si>
  <si>
    <t>agus.irawan / Presensi#2026 (karyawan) + edi.santoso / Presensi#2026 (Team Leader)</t>
  </si>
  <si>
    <t>1. Ajukan cuti 2 hari
2. TL menyetujui
3. Lihat Monitoring &amp; laporan</t>
  </si>
  <si>
    <t>Kedua tanggal berstatus Cuti; bila karyawan tetap check-in di tanggal tsb, statusnya Hadir</t>
  </si>
  <si>
    <t>BIS-006</t>
  </si>
  <si>
    <t>Libur nasional aktif</t>
  </si>
  <si>
    <t>admin / password + server</t>
  </si>
  <si>
    <t>Impor libur 2026; aktifkan libur nasional</t>
  </si>
  <si>
    <t>close-day pada tanggal libur; satu karyawan tetap check-in</t>
  </si>
  <si>
    <t>Yang tidak masuk berstatus Libur; yang masuk Hadir + keterangan "Hari libur"</t>
  </si>
  <si>
    <t>BIS-007</t>
  </si>
  <si>
    <t>Proyek 5 hari kerja</t>
  </si>
  <si>
    <t>Hari kerja Sen–Jum</t>
  </si>
  <si>
    <t>close-day pada hari Sabtu</t>
  </si>
  <si>
    <t>Status Libur untuk yang tidak masuk</t>
  </si>
  <si>
    <t>BIS-008</t>
  </si>
  <si>
    <t>Terlambat</t>
  </si>
  <si>
    <t>Status terlambat</t>
  </si>
  <si>
    <t>admin / password + agus.irawan / Presensi#2026 (karyawan)</t>
  </si>
  <si>
    <t>Check-in melewati jam masuk + toleransi</t>
  </si>
  <si>
    <t>Status Terlambat, menit terlambat benar; rekap kolom T bertambah</t>
  </si>
  <si>
    <t>BIS-009</t>
  </si>
  <si>
    <t>Luar lokasi</t>
  </si>
  <si>
    <t>Ditandai vs perlu persetujuan</t>
  </si>
  <si>
    <t>admin / password + agus.irawan / Presensi#2026 (karyawan) + edi.santoso / Presensi#2026 (Team Leader)</t>
  </si>
  <si>
    <t>1. Approval mati: check-in luar lokasi
2. Approval nyala: check-in luar lokasi → TL setujui/tolak</t>
  </si>
  <si>
    <t>1: langsung tercatat, chip Luar lokasi. 2: Menunggu → Disetujui/Ditolak; tercermin di Monitoring &amp; API</t>
  </si>
  <si>
    <t>BIS-010</t>
  </si>
  <si>
    <t>Multi proyek</t>
  </si>
  <si>
    <t>Karyawan di dua proyek</t>
  </si>
  <si>
    <t>Login API → presensi di proyek 1 &amp; proyek 2</t>
  </si>
  <si>
    <t>Profil berisi 2 proyek; presensi tersimpan terpisah per proyek; masing-masing tampil hanya di proyeknya</t>
  </si>
  <si>
    <t>BIS-011</t>
  </si>
  <si>
    <t>Tanggal 25–26 di dua periode</t>
  </si>
  <si>
    <t>Laporan Bulan ke-1 dan Bulan ke-2 karyawan yang sama</t>
  </si>
  <si>
    <t>Tanggal 25–26 Mar muncul di kedua laporan; di Monitoring tetap satu data per tanggal</t>
  </si>
  <si>
    <t>BIS-012</t>
  </si>
  <si>
    <t>Zona waktu</t>
  </si>
  <si>
    <t>Proyek WITA</t>
  </si>
  <si>
    <t>Proyek baru zona WITA (WEB-062) dengan titik &amp; karyawan</t>
  </si>
  <si>
    <t>Check-in → lihat jam di API, Monitoring, laporan</t>
  </si>
  <si>
    <t>Jam tampil dalam WITA (+08:00) konsisten di semua tempat</t>
  </si>
  <si>
    <t>BIS-013</t>
  </si>
  <si>
    <t>Keamanan</t>
  </si>
  <si>
    <t>Akses data proyek lain</t>
  </si>
  <si>
    <t>Admin proyek</t>
  </si>
  <si>
    <t>Admin proyek hanya KDR</t>
  </si>
  <si>
    <t>Buka URL detail/foto presensi &amp; laporan milik proyek lain (ganti id di URL)</t>
  </si>
  <si>
    <t>Ditolak 403/404; tidak ada data proyek lain yang terlihat</t>
  </si>
  <si>
    <t>ID Bug</t>
  </si>
  <si>
    <t>Tanggal</t>
  </si>
  <si>
    <t>ID kasus uji</t>
  </si>
  <si>
    <t>Judul</t>
  </si>
  <si>
    <t>Langkah reproduksi</t>
  </si>
  <si>
    <t>Hasil diharapkan</t>
  </si>
  <si>
    <t>Tingkat</t>
  </si>
  <si>
    <t>Lingkungan / perangkat</t>
  </si>
  <si>
    <t>Bukti (tautan screenshot)</t>
  </si>
  <si>
    <t>Status bug</t>
  </si>
  <si>
    <t>Ditangani oleh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</si>
  <si>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</si>
  <si>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</si>
  <si>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</si>
  <si>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</si>
  <si>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</si>
  <si>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</si>
  <si>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</si>
  <si>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</si>
  <si>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</si>
  <si>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</si>
  <si>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</si>
  <si>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</si>
  <si>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</si>
  <si>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</si>
  <si>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</si>
  <si>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</si>
  <si>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</si>
  <si>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</si>
  <si>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</si>
  <si>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</si>
  <si>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</si>
  <si>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</si>
  <si>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</si>
  <si>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</si>
  <si>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</si>
  <si>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BUG-026</t>
  </si>
  <si>
    <t>BUG-027</t>
  </si>
  <si>
    <t>BUG-028</t>
  </si>
  <si>
    <t>BUG-029</t>
  </si>
  <si>
    <t>BUG-030</t>
  </si>
  <si>
    <t>BUG-031</t>
  </si>
  <si>
    <t>BUG-032</t>
  </si>
  <si>
    <t>BUG-033</t>
  </si>
  <si>
    <t>BUG-034</t>
  </si>
  <si>
    <t>BUG-035</t>
  </si>
  <si>
    <t>BUG-036</t>
  </si>
  <si>
    <t>BUG-037</t>
  </si>
  <si>
    <t>BUG-038</t>
  </si>
  <si>
    <t>BUG-039</t>
  </si>
  <si>
    <t>BUG-040</t>
  </si>
  <si>
    <t>BUG-041</t>
  </si>
  <si>
    <t>BUG-042</t>
  </si>
  <si>
    <t>BUG-043</t>
  </si>
  <si>
    <t>BUG-044</t>
  </si>
  <si>
    <t>BUG-045</t>
  </si>
  <si>
    <t>BUG-046</t>
  </si>
  <si>
    <t>BUG-047</t>
  </si>
  <si>
    <t>BUG-048</t>
  </si>
  <si>
    <t>BUG-049</t>
  </si>
  <si>
    <t>BUG-050</t>
  </si>
  <si>
    <t>BUG-051</t>
  </si>
  <si>
    <t>BUG-052</t>
  </si>
  <si>
    <t>BUG-053</t>
  </si>
  <si>
    <t>BUG-054</t>
  </si>
  <si>
    <t>BUG-055</t>
  </si>
  <si>
    <t>BUG-056</t>
  </si>
  <si>
    <t>BUG-057</t>
  </si>
  <si>
    <t>BUG-058</t>
  </si>
  <si>
    <t>BUG-059</t>
  </si>
  <si>
    <t>BUG-060</t>
  </si>
  <si>
    <t>BUG-061</t>
  </si>
  <si>
    <t>BUG-062</t>
  </si>
  <si>
    <t>BUG-063</t>
  </si>
  <si>
    <t>BUG-064</t>
  </si>
  <si>
    <t>BUG-065</t>
  </si>
  <si>
    <t>BUG-066</t>
  </si>
  <si>
    <t>BUG-067</t>
  </si>
  <si>
    <t>BUG-068</t>
  </si>
  <si>
    <t>BUG-069</t>
  </si>
  <si>
    <t>BUG-070</t>
  </si>
  <si>
    <t>BUG-071</t>
  </si>
  <si>
    <t>BUG-072</t>
  </si>
  <si>
    <t>BUG-073</t>
  </si>
  <si>
    <t>BUG-074</t>
  </si>
  <si>
    <t>BUG-075</t>
  </si>
  <si>
    <t>BUG-076</t>
  </si>
  <si>
    <t>BUG-077</t>
  </si>
  <si>
    <t>BUG-078</t>
  </si>
  <si>
    <t>BUG-079</t>
  </si>
  <si>
    <t>BUG-080</t>
  </si>
  <si>
    <t>BUG-081</t>
  </si>
  <si>
    <t>BUG-082</t>
  </si>
  <si>
    <t>BUG-083</t>
  </si>
  <si>
    <t>BUG-084</t>
  </si>
  <si>
    <t>BUG-085</t>
  </si>
  <si>
    <t>BUG-086</t>
  </si>
  <si>
    <t>BUG-087</t>
  </si>
  <si>
    <t>BUG-088</t>
  </si>
  <si>
    <t>BUG-089</t>
  </si>
  <si>
    <t>BUG-090</t>
  </si>
  <si>
    <t>BUG-091</t>
  </si>
  <si>
    <t>BUG-092</t>
  </si>
  <si>
    <t>BUG-093</t>
  </si>
  <si>
    <t>BUG-094</t>
  </si>
  <si>
    <t>BUG-095</t>
  </si>
  <si>
    <t>BUG-096</t>
  </si>
  <si>
    <t>BUG-097</t>
  </si>
  <si>
    <t>BUG-098</t>
  </si>
  <si>
    <t>BUG-099</t>
  </si>
  <si>
    <t>BUG-100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</si>
</sst>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E5AA8"/>
      <name val="Calibri"/>
    </font>
    <font>
      <b val="0"/>
      <i val="1"/>
      <strike val="0"/>
      <u val="none"/>
      <sz val="11"/>
      <color rgb="FF64748B"/>
      <name val="Calibri"/>
    </font>
    <font>
      <b val="1"/>
      <i val="0"/>
      <strike val="0"/>
      <u val="none"/>
      <sz val="11"/>
      <color rgb="FF1E5AA8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5AA8"/>
        <bgColor rgb="FF000000"/>
      </patternFill>
    </fill>
    <fill>
      <patternFill patternType="solid">
        <fgColor rgb="FFFFFDF5"/>
        <bgColor rgb="FF000000"/>
      </patternFill>
    </fill>
    <fill>
      <patternFill patternType="solid">
        <fgColor rgb="FFB42323"/>
        <bgColor rgb="FF000000"/>
      </patternFill>
    </fill>
    <fill>
      <patternFill patternType="solid">
        <fgColor rgb="FFE3F0FB"/>
        <bgColor rgb="FF000000"/>
      </patternFill>
    </fill>
  </fills>
  <borders count="3">
    <border>
      <left/>
      <right/>
      <top/>
      <bottom/>
      <diagonal/>
    </border>
    <border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  <border>
      <left style="thin">
        <color rgb="FFE6EAF0"/>
      </left>
      <right style="thin">
        <color rgb="FFE6EAF0"/>
      </right>
      <top style="thin">
        <color rgb="FFE6EAF0"/>
      </top>
      <bottom style="thin">
        <color rgb="FFE6EAF0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0" borderId="0" applyFont="1" applyNumberFormat="0" applyFill="0" applyBorder="0" applyAlignment="1">
      <alignment vertical="top" textRotation="0" wrapText="true" shrinkToFit="false"/>
    </xf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2" borderId="1" applyFont="1" applyNumberFormat="0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vertical="top" textRotation="0" wrapText="true" shrinkToFit="false"/>
    </xf>
    <xf xfId="0" fontId="5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4" numFmtId="0" fillId="5" borderId="1" applyFont="1" applyNumberFormat="0" applyFill="1" applyBorder="1" applyAlignment="0"/>
    <xf xfId="0" fontId="0" numFmtId="9" fillId="0" borderId="1" applyFont="0" applyNumberFormat="1" applyFill="0" applyBorder="1" applyAlignment="0"/>
    <xf xfId="0" fontId="4" numFmtId="9" fillId="5" borderId="1" applyFont="1" applyNumberFormat="1" applyFill="1" applyBorder="1" applyAlignment="0"/>
  </cellXfs>
  <cellStyles count="1">
    <cellStyle name="Normal" xfId="0" builtinId="0"/>
  </cellStyles>
  <dxfs count="6">
    <dxf>
      <font>
        <b val="1"/>
      </font>
      <fill>
        <patternFill patternType="solid">
          <bgColor rgb="FFD9F2E3"/>
        </patternFill>
      </fill>
      <border/>
    </dxf>
    <dxf>
      <font>
        <b val="1"/>
      </font>
      <fill>
        <patternFill patternType="solid">
          <bgColor rgb="FFFBE0E0"/>
        </patternFill>
      </fill>
      <border/>
    </dxf>
    <dxf>
      <font>
        <b val="1"/>
      </font>
      <fill>
        <patternFill patternType="solid">
          <bgColor rgb="FFFFF3D6"/>
        </patternFill>
      </fill>
      <border/>
    </dxf>
    <dxf>
      <font>
        <b val="1"/>
        <color rgb="FFB42323"/>
      </font>
      <border/>
    </dxf>
    <dxf>
      <font>
        <b val="1"/>
        <color rgb="FFA86400"/>
      </font>
      <border/>
    </dxf>
    <dxf>
      <font>
        <b val="1"/>
        <color rgb="FF475569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5"/>
  <sheetViews>
    <sheetView tabSelected="1" workbookViewId="0" showGridLines="true" showRowColHeaders="1">
      <selection activeCell="A1" sqref="A1:D25"/>
    </sheetView>
  </sheetViews>
  <sheetFormatPr defaultRowHeight="14.4" outlineLevelRow="0" outlineLevelCol="0"/>
  <cols>
    <col min="1" max="1" width="26" customWidth="true" style="0"/>
    <col min="2" max="2" width="70" customWidth="true" style="0"/>
    <col min="3" max="3" width="18" customWidth="true" style="0"/>
    <col min="4" max="4" width="42" customWidth="true" style="0"/>
  </cols>
  <sheetData>
    <row r="1" spans="1:4">
      <c r="A1" s="3" t="s">
        <v>0</v>
      </c>
      <c r="B1" s="5"/>
      <c r="C1" s="5"/>
      <c r="D1" s="5"/>
    </row>
    <row r="2" spans="1:4">
      <c r="A2" s="4" t="s">
        <v>1</v>
      </c>
      <c r="B2" s="5"/>
      <c r="C2" s="5"/>
      <c r="D2" s="5"/>
    </row>
    <row r="3" spans="1:4">
      <c r="A3" s="5"/>
      <c r="B3" s="5"/>
      <c r="C3" s="5"/>
      <c r="D3" s="5"/>
    </row>
    <row r="4" spans="1:4">
      <c r="A4" s="6" t="s">
        <v>2</v>
      </c>
      <c r="B4" s="5"/>
      <c r="C4" s="5"/>
      <c r="D4" s="5"/>
    </row>
    <row r="5" spans="1:4">
      <c r="A5" s="5" t="s">
        <v>3</v>
      </c>
      <c r="B5" s="5" t="s">
        <v>4</v>
      </c>
      <c r="C5" s="5"/>
      <c r="D5" s="5"/>
    </row>
    <row r="6" spans="1:4">
      <c r="A6" s="5" t="s">
        <v>5</v>
      </c>
      <c r="B6" s="5" t="s">
        <v>6</v>
      </c>
      <c r="C6" s="5"/>
      <c r="D6" s="5"/>
    </row>
    <row r="7" spans="1:4">
      <c r="A7" s="5" t="s">
        <v>7</v>
      </c>
      <c r="B7" s="5" t="s">
        <v>8</v>
      </c>
      <c r="C7" s="5"/>
      <c r="D7" s="5"/>
    </row>
    <row r="8" spans="1:4">
      <c r="A8" s="5" t="s">
        <v>9</v>
      </c>
      <c r="B8" s="5" t="s">
        <v>10</v>
      </c>
      <c r="C8" s="5"/>
      <c r="D8" s="5"/>
    </row>
    <row r="9" spans="1:4">
      <c r="A9" s="5" t="s">
        <v>11</v>
      </c>
      <c r="B9" s="5" t="s">
        <v>12</v>
      </c>
      <c r="C9" s="5"/>
      <c r="D9" s="5"/>
    </row>
    <row r="10" spans="1:4">
      <c r="A10" s="5" t="s">
        <v>13</v>
      </c>
      <c r="B10" s="5" t="s">
        <v>14</v>
      </c>
      <c r="C10" s="5"/>
      <c r="D10" s="5"/>
    </row>
    <row r="11" spans="1:4">
      <c r="A11" s="5"/>
      <c r="B11" s="5"/>
      <c r="C11" s="5"/>
      <c r="D11" s="5"/>
    </row>
    <row r="12" spans="1:4">
      <c r="A12" s="6" t="s">
        <v>15</v>
      </c>
      <c r="B12" s="7" t="s">
        <v>16</v>
      </c>
      <c r="C12" s="7" t="s">
        <v>17</v>
      </c>
      <c r="D12" s="7" t="s">
        <v>18</v>
      </c>
    </row>
    <row r="13" spans="1:4">
      <c r="A13" s="5"/>
      <c r="B13" s="5" t="s">
        <v>19</v>
      </c>
      <c r="C13" s="5" t="s">
        <v>20</v>
      </c>
      <c r="D13" s="5" t="s">
        <v>21</v>
      </c>
    </row>
    <row r="14" spans="1:4">
      <c r="A14" s="5"/>
      <c r="B14" s="5" t="s">
        <v>22</v>
      </c>
      <c r="C14" s="5" t="s">
        <v>20</v>
      </c>
      <c r="D14" s="5" t="s">
        <v>23</v>
      </c>
    </row>
    <row r="15" spans="1:4">
      <c r="A15" s="5"/>
      <c r="B15" s="5" t="s">
        <v>24</v>
      </c>
      <c r="C15" s="5" t="s">
        <v>25</v>
      </c>
      <c r="D15" s="5" t="s">
        <v>26</v>
      </c>
    </row>
    <row r="16" spans="1:4">
      <c r="A16" s="5"/>
      <c r="B16" s="5" t="s">
        <v>27</v>
      </c>
      <c r="C16" s="5" t="s">
        <v>25</v>
      </c>
      <c r="D16" s="5" t="s">
        <v>28</v>
      </c>
    </row>
    <row r="17" spans="1:4">
      <c r="A17" s="5"/>
      <c r="B17" s="5"/>
      <c r="C17" s="5"/>
      <c r="D17" s="5"/>
    </row>
    <row r="18" spans="1:4">
      <c r="A18" s="6" t="s">
        <v>29</v>
      </c>
      <c r="B18" s="5" t="s">
        <v>30</v>
      </c>
      <c r="C18" s="5"/>
      <c r="D18" s="5"/>
    </row>
    <row r="19" spans="1:4">
      <c r="A19" s="5"/>
      <c r="B19" s="5" t="s">
        <v>31</v>
      </c>
      <c r="C19" s="5"/>
      <c r="D19" s="5"/>
    </row>
    <row r="20" spans="1:4">
      <c r="A20" s="5"/>
      <c r="B20" s="5"/>
      <c r="C20" s="5"/>
      <c r="D20" s="5"/>
    </row>
    <row r="21" spans="1:4">
      <c r="A21" s="6" t="s">
        <v>32</v>
      </c>
      <c r="B21" s="5" t="s">
        <v>33</v>
      </c>
      <c r="C21" s="5"/>
      <c r="D21" s="5"/>
    </row>
    <row r="22" spans="1:4">
      <c r="A22" s="5" t="s">
        <v>34</v>
      </c>
      <c r="B22" s="5" t="s">
        <v>35</v>
      </c>
      <c r="C22" s="5"/>
      <c r="D22" s="5"/>
    </row>
    <row r="23" spans="1:4">
      <c r="A23" s="5" t="s">
        <v>36</v>
      </c>
      <c r="B23" s="5" t="s">
        <v>37</v>
      </c>
      <c r="C23" s="5"/>
      <c r="D23" s="5"/>
    </row>
    <row r="24" spans="1:4">
      <c r="A24" s="5" t="s">
        <v>38</v>
      </c>
      <c r="B24" s="5" t="s">
        <v>39</v>
      </c>
      <c r="C24" s="5"/>
      <c r="D24" s="5"/>
    </row>
    <row r="25" spans="1:4">
      <c r="A25" s="5"/>
      <c r="B25" s="5"/>
      <c r="C25" s="5"/>
      <c r="D2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tabSelected="0" workbookViewId="0" showGridLines="true" showRowColHeaders="1">
      <selection activeCell="A10" sqref="A10"/>
    </sheetView>
  </sheetViews>
  <sheetFormatPr defaultRowHeight="14.4" outlineLevelRow="0" outlineLevelCol="0"/>
  <cols>
    <col min="1" max="1" width="22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3" customWidth="true" style="0"/>
    <col min="7" max="7" width="11" customWidth="true" style="0"/>
    <col min="8" max="8" width="13" customWidth="true" style="0"/>
    <col min="9" max="9" width="20" customWidth="true" style="0"/>
  </cols>
  <sheetData>
    <row r="1" spans="1:9">
      <c r="A1" s="1" t="s">
        <v>40</v>
      </c>
    </row>
    <row r="3" spans="1:9">
      <c r="A3" s="14" t="s">
        <v>41</v>
      </c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</row>
    <row r="4" spans="1:9">
      <c r="A4" s="15" t="s">
        <v>50</v>
      </c>
      <c r="B4" s="15">
        <f>COUNTA('Web Admin'!A2:A500)</f>
        <v>69</v>
      </c>
      <c r="C4" s="15">
        <f>COUNTIF('Web Admin'!K2:K500,"Pass")</f>
        <v>0</v>
      </c>
      <c r="D4" s="15">
        <f>COUNTIF('Web Admin'!K2:K500,"Fail")</f>
        <v>0</v>
      </c>
      <c r="E4" s="15">
        <f>COUNTIF('Web Admin'!K2:K500,"Blocked")</f>
        <v>0</v>
      </c>
      <c r="F4" s="15">
        <f>COUNTIF('Web Admin'!K2:K500,"Belum diuji")</f>
        <v>69</v>
      </c>
      <c r="G4" s="17">
        <f>IF(B4=0,0,(C4+D4+E4)/B4)</f>
        <v>0</v>
      </c>
      <c r="H4" s="17">
        <f>IF(C4+D4=0,0,C4/(C4+D4))</f>
        <v>0</v>
      </c>
      <c r="I4" s="15">
        <f>COUNTIFS('Web Admin'!K2:K500,"Fail",'Web Admin'!D2:D500,"Tinggi")</f>
        <v>0</v>
      </c>
    </row>
    <row r="5" spans="1:9">
      <c r="A5" s="15" t="s">
        <v>51</v>
      </c>
      <c r="B5" s="15">
        <f>COUNTA('API Mobile'!A2:A500)</f>
        <v>26</v>
      </c>
      <c r="C5" s="15">
        <f>COUNTIF('API Mobile'!K2:K500,"Pass")</f>
        <v>0</v>
      </c>
      <c r="D5" s="15">
        <f>COUNTIF('API Mobile'!K2:K500,"Fail")</f>
        <v>0</v>
      </c>
      <c r="E5" s="15">
        <f>COUNTIF('API Mobile'!K2:K500,"Blocked")</f>
        <v>0</v>
      </c>
      <c r="F5" s="15">
        <f>COUNTIF('API Mobile'!K2:K500,"Belum diuji")</f>
        <v>26</v>
      </c>
      <c r="G5" s="17">
        <f>IF(B5=0,0,(C5+D5+E5)/B5)</f>
        <v>0</v>
      </c>
      <c r="H5" s="17">
        <f>IF(C5+D5=0,0,C5/(C5+D5))</f>
        <v>0</v>
      </c>
      <c r="I5" s="15">
        <f>COUNTIFS('API Mobile'!K2:K500,"Fail",'API Mobile'!D2:D500,"Tinggi")</f>
        <v>0</v>
      </c>
    </row>
    <row r="6" spans="1:9">
      <c r="A6" s="15" t="s">
        <v>52</v>
      </c>
      <c r="B6" s="15">
        <f>COUNTA('Laporan'!A2:A500)</f>
        <v>17</v>
      </c>
      <c r="C6" s="15">
        <f>COUNTIF('Laporan'!K2:K500,"Pass")</f>
        <v>0</v>
      </c>
      <c r="D6" s="15">
        <f>COUNTIF('Laporan'!K2:K500,"Fail")</f>
        <v>0</v>
      </c>
      <c r="E6" s="15">
        <f>COUNTIF('Laporan'!K2:K500,"Blocked")</f>
        <v>0</v>
      </c>
      <c r="F6" s="15">
        <f>COUNTIF('Laporan'!K2:K500,"Belum diuji")</f>
        <v>17</v>
      </c>
      <c r="G6" s="17">
        <f>IF(B6=0,0,(C6+D6+E6)/B6)</f>
        <v>0</v>
      </c>
      <c r="H6" s="17">
        <f>IF(C6+D6=0,0,C6/(C6+D6))</f>
        <v>0</v>
      </c>
      <c r="I6" s="15">
        <f>COUNTIFS('Laporan'!K2:K500,"Fail",'Laporan'!D2:D500,"Tinggi")</f>
        <v>0</v>
      </c>
    </row>
    <row r="7" spans="1:9">
      <c r="A7" s="15" t="s">
        <v>53</v>
      </c>
      <c r="B7" s="15">
        <f>COUNTA('Skenario Bisnis'!A2:A500)</f>
        <v>13</v>
      </c>
      <c r="C7" s="15">
        <f>COUNTIF('Skenario Bisnis'!K2:K500,"Pass")</f>
        <v>0</v>
      </c>
      <c r="D7" s="15">
        <f>COUNTIF('Skenario Bisnis'!K2:K500,"Fail")</f>
        <v>0</v>
      </c>
      <c r="E7" s="15">
        <f>COUNTIF('Skenario Bisnis'!K2:K500,"Blocked")</f>
        <v>0</v>
      </c>
      <c r="F7" s="15">
        <f>COUNTIF('Skenario Bisnis'!K2:K500,"Belum diuji")</f>
        <v>13</v>
      </c>
      <c r="G7" s="17">
        <f>IF(B7=0,0,(C7+D7+E7)/B7)</f>
        <v>0</v>
      </c>
      <c r="H7" s="17">
        <f>IF(C7+D7=0,0,C7/(C7+D7))</f>
        <v>0</v>
      </c>
      <c r="I7" s="15">
        <f>COUNTIFS('Skenario Bisnis'!K2:K500,"Fail",'Skenario Bisnis'!D2:D500,"Tinggi")</f>
        <v>0</v>
      </c>
    </row>
    <row r="8" spans="1:9">
      <c r="A8" s="16" t="s">
        <v>54</v>
      </c>
      <c r="B8" s="16">
        <f>SUM(B4:B7)</f>
        <v>125</v>
      </c>
      <c r="C8" s="16">
        <f>SUM(C4:C7)</f>
        <v>0</v>
      </c>
      <c r="D8" s="16">
        <f>SUM(D4:D7)</f>
        <v>0</v>
      </c>
      <c r="E8" s="16">
        <f>SUM(E4:E7)</f>
        <v>0</v>
      </c>
      <c r="F8" s="16">
        <f>SUM(F4:F7)</f>
        <v>125</v>
      </c>
      <c r="G8" s="18">
        <f>IF(B8=0,0,(C8+D8+E8)/B8)</f>
        <v>0</v>
      </c>
      <c r="H8" s="18">
        <f>IF(C8+D8=0,0,C8/(C8+D8))</f>
        <v>0</v>
      </c>
      <c r="I8" s="16">
        <f>SUM(I4:I7)</f>
        <v>0</v>
      </c>
    </row>
    <row r="10" spans="1:9">
      <c r="A10" s="2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N500"/>
  <sheetViews>
    <sheetView tabSelected="0" workbookViewId="0" showGridLines="true" showRowColHeaders="1">
      <pane xSplit="3" ySplit="1" activePane="bottomRight" state="frozen" topLeftCell="D2"/>
      <selection pane="bottomRight" activeCell="D2" sqref="D2:D70"/>
    </sheetView>
  </sheetViews>
  <sheetFormatPr defaultRowHeight="14.4" outlineLevelRow="0" outlineLevelCol="0"/>
  <cols>
    <col min="1" max="1" width="10" customWidth="true" style="0"/>
    <col min="2" max="2" width="16" customWidth="true" style="0"/>
    <col min="3" max="3" width="32" customWidth="true" style="0"/>
    <col min="4" max="4" width="10" customWidth="true" style="0"/>
    <col min="5" max="5" width="24" customWidth="true" style="0"/>
    <col min="6" max="6" width="28" customWidth="true" style="0"/>
    <col min="7" max="7" width="46" customWidth="true" style="0"/>
    <col min="8" max="8" width="22" customWidth="true" style="0"/>
    <col min="9" max="9" width="50" customWidth="true" style="0"/>
    <col min="10" max="10" width="30" customWidth="true" style="0"/>
    <col min="11" max="11" width="13" customWidth="true" style="0"/>
    <col min="12" max="12" width="18" customWidth="true" style="0"/>
    <col min="13" max="13" width="14" customWidth="true" style="0"/>
    <col min="14" max="14" width="13" customWidth="true" style="0"/>
  </cols>
  <sheetData>
    <row r="1" spans="1:14" customHeight="1" ht="28">
      <c r="A1" s="8" t="s">
        <v>56</v>
      </c>
      <c r="B1" s="8" t="s">
        <v>57</v>
      </c>
      <c r="C1" s="8" t="s">
        <v>58</v>
      </c>
      <c r="D1" s="8" t="s">
        <v>36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34</v>
      </c>
      <c r="L1" s="8" t="s">
        <v>65</v>
      </c>
      <c r="M1" s="8" t="s">
        <v>66</v>
      </c>
      <c r="N1" s="8" t="s">
        <v>67</v>
      </c>
    </row>
    <row r="2" spans="1:14">
      <c r="A2" s="10" t="s">
        <v>68</v>
      </c>
      <c r="B2" s="9" t="s">
        <v>69</v>
      </c>
      <c r="C2" s="9" t="s">
        <v>70</v>
      </c>
      <c r="D2" s="9" t="s">
        <v>71</v>
      </c>
      <c r="E2" s="9" t="s">
        <v>72</v>
      </c>
      <c r="F2" s="9" t="s">
        <v>73</v>
      </c>
      <c r="G2" s="9" t="s">
        <v>74</v>
      </c>
      <c r="H2" s="9" t="s">
        <v>72</v>
      </c>
      <c r="I2" s="9" t="s">
        <v>75</v>
      </c>
      <c r="J2" s="11"/>
      <c r="K2" s="11" t="s">
        <v>46</v>
      </c>
      <c r="L2" s="11"/>
      <c r="M2" s="11"/>
      <c r="N2" s="11"/>
    </row>
    <row r="3" spans="1:14">
      <c r="A3" s="10" t="s">
        <v>76</v>
      </c>
      <c r="B3" s="9" t="s">
        <v>69</v>
      </c>
      <c r="C3" s="9" t="s">
        <v>77</v>
      </c>
      <c r="D3" s="9" t="s">
        <v>71</v>
      </c>
      <c r="E3" s="9" t="s">
        <v>78</v>
      </c>
      <c r="F3" s="9" t="s">
        <v>78</v>
      </c>
      <c r="G3" s="9" t="s">
        <v>79</v>
      </c>
      <c r="H3" s="9" t="s">
        <v>80</v>
      </c>
      <c r="I3" s="9" t="s">
        <v>81</v>
      </c>
      <c r="J3" s="11"/>
      <c r="K3" s="11" t="s">
        <v>46</v>
      </c>
      <c r="L3" s="11"/>
      <c r="M3" s="11"/>
      <c r="N3" s="11"/>
    </row>
    <row r="4" spans="1:14">
      <c r="A4" s="10" t="s">
        <v>82</v>
      </c>
      <c r="B4" s="9" t="s">
        <v>69</v>
      </c>
      <c r="C4" s="9" t="s">
        <v>83</v>
      </c>
      <c r="D4" s="9" t="s">
        <v>84</v>
      </c>
      <c r="E4" s="9" t="s">
        <v>78</v>
      </c>
      <c r="F4" s="9" t="s">
        <v>78</v>
      </c>
      <c r="G4" s="9" t="s">
        <v>85</v>
      </c>
      <c r="H4" s="9" t="s">
        <v>86</v>
      </c>
      <c r="I4" s="9" t="s">
        <v>87</v>
      </c>
      <c r="J4" s="11"/>
      <c r="K4" s="11" t="s">
        <v>46</v>
      </c>
      <c r="L4" s="11"/>
      <c r="M4" s="11"/>
      <c r="N4" s="11"/>
    </row>
    <row r="5" spans="1:14">
      <c r="A5" s="10" t="s">
        <v>88</v>
      </c>
      <c r="B5" s="9" t="s">
        <v>69</v>
      </c>
      <c r="C5" s="9" t="s">
        <v>89</v>
      </c>
      <c r="D5" s="9" t="s">
        <v>71</v>
      </c>
      <c r="E5" s="9" t="s">
        <v>90</v>
      </c>
      <c r="F5" s="9" t="s">
        <v>78</v>
      </c>
      <c r="G5" s="9" t="s">
        <v>91</v>
      </c>
      <c r="H5" s="9" t="s">
        <v>92</v>
      </c>
      <c r="I5" s="9" t="s">
        <v>93</v>
      </c>
      <c r="J5" s="11"/>
      <c r="K5" s="11" t="s">
        <v>46</v>
      </c>
      <c r="L5" s="11"/>
      <c r="M5" s="11"/>
      <c r="N5" s="11"/>
    </row>
    <row r="6" spans="1:14">
      <c r="A6" s="10" t="s">
        <v>94</v>
      </c>
      <c r="B6" s="9" t="s">
        <v>95</v>
      </c>
      <c r="C6" s="9" t="s">
        <v>96</v>
      </c>
      <c r="D6" s="9" t="s">
        <v>71</v>
      </c>
      <c r="E6" s="9" t="s">
        <v>97</v>
      </c>
      <c r="F6" s="9" t="s">
        <v>78</v>
      </c>
      <c r="G6" s="9" t="s">
        <v>98</v>
      </c>
      <c r="H6" s="9" t="s">
        <v>78</v>
      </c>
      <c r="I6" s="9" t="s">
        <v>99</v>
      </c>
      <c r="J6" s="11"/>
      <c r="K6" s="11" t="s">
        <v>46</v>
      </c>
      <c r="L6" s="11"/>
      <c r="M6" s="11"/>
      <c r="N6" s="11"/>
    </row>
    <row r="7" spans="1:14">
      <c r="A7" s="10" t="s">
        <v>100</v>
      </c>
      <c r="B7" s="9" t="s">
        <v>95</v>
      </c>
      <c r="C7" s="9" t="s">
        <v>101</v>
      </c>
      <c r="D7" s="9" t="s">
        <v>71</v>
      </c>
      <c r="E7" s="9" t="s">
        <v>72</v>
      </c>
      <c r="F7" s="9" t="s">
        <v>102</v>
      </c>
      <c r="G7" s="9" t="s">
        <v>103</v>
      </c>
      <c r="H7" s="9" t="s">
        <v>78</v>
      </c>
      <c r="I7" s="9" t="s">
        <v>104</v>
      </c>
      <c r="J7" s="11"/>
      <c r="K7" s="11" t="s">
        <v>46</v>
      </c>
      <c r="L7" s="11"/>
      <c r="M7" s="11"/>
      <c r="N7" s="11"/>
    </row>
    <row r="8" spans="1:14">
      <c r="A8" s="10" t="s">
        <v>105</v>
      </c>
      <c r="B8" s="9" t="s">
        <v>69</v>
      </c>
      <c r="C8" s="9" t="s">
        <v>106</v>
      </c>
      <c r="D8" s="9" t="s">
        <v>107</v>
      </c>
      <c r="E8" s="9" t="s">
        <v>72</v>
      </c>
      <c r="F8" s="9" t="s">
        <v>108</v>
      </c>
      <c r="G8" s="9" t="s">
        <v>109</v>
      </c>
      <c r="H8" s="9" t="s">
        <v>78</v>
      </c>
      <c r="I8" s="9" t="s">
        <v>110</v>
      </c>
      <c r="J8" s="11"/>
      <c r="K8" s="11" t="s">
        <v>46</v>
      </c>
      <c r="L8" s="11"/>
      <c r="M8" s="11"/>
      <c r="N8" s="11"/>
    </row>
    <row r="9" spans="1:14">
      <c r="A9" s="10" t="s">
        <v>111</v>
      </c>
      <c r="B9" s="9" t="s">
        <v>112</v>
      </c>
      <c r="C9" s="9" t="s">
        <v>113</v>
      </c>
      <c r="D9" s="9" t="s">
        <v>84</v>
      </c>
      <c r="E9" s="9" t="s">
        <v>72</v>
      </c>
      <c r="F9" s="9" t="s">
        <v>78</v>
      </c>
      <c r="G9" s="9" t="s">
        <v>114</v>
      </c>
      <c r="H9" s="9" t="s">
        <v>115</v>
      </c>
      <c r="I9" s="9" t="s">
        <v>116</v>
      </c>
      <c r="J9" s="11"/>
      <c r="K9" s="11" t="s">
        <v>46</v>
      </c>
      <c r="L9" s="11"/>
      <c r="M9" s="11"/>
      <c r="N9" s="11"/>
    </row>
    <row r="10" spans="1:14">
      <c r="A10" s="10" t="s">
        <v>117</v>
      </c>
      <c r="B10" s="9" t="s">
        <v>118</v>
      </c>
      <c r="C10" s="9" t="s">
        <v>119</v>
      </c>
      <c r="D10" s="9" t="s">
        <v>84</v>
      </c>
      <c r="E10" s="9" t="s">
        <v>72</v>
      </c>
      <c r="F10" s="9" t="s">
        <v>120</v>
      </c>
      <c r="G10" s="9" t="s">
        <v>121</v>
      </c>
      <c r="H10" s="9" t="s">
        <v>78</v>
      </c>
      <c r="I10" s="9" t="s">
        <v>122</v>
      </c>
      <c r="J10" s="11"/>
      <c r="K10" s="11" t="s">
        <v>46</v>
      </c>
      <c r="L10" s="11"/>
      <c r="M10" s="11"/>
      <c r="N10" s="11"/>
    </row>
    <row r="11" spans="1:14">
      <c r="A11" s="10" t="s">
        <v>123</v>
      </c>
      <c r="B11" s="9" t="s">
        <v>124</v>
      </c>
      <c r="C11" s="9" t="s">
        <v>125</v>
      </c>
      <c r="D11" s="9" t="s">
        <v>84</v>
      </c>
      <c r="E11" s="9" t="s">
        <v>72</v>
      </c>
      <c r="F11" s="9" t="s">
        <v>78</v>
      </c>
      <c r="G11" s="9" t="s">
        <v>126</v>
      </c>
      <c r="H11" s="9" t="s">
        <v>78</v>
      </c>
      <c r="I11" s="9" t="s">
        <v>127</v>
      </c>
      <c r="J11" s="11"/>
      <c r="K11" s="11" t="s">
        <v>46</v>
      </c>
      <c r="L11" s="11"/>
      <c r="M11" s="11"/>
      <c r="N11" s="11"/>
    </row>
    <row r="12" spans="1:14">
      <c r="A12" s="10" t="s">
        <v>128</v>
      </c>
      <c r="B12" s="9" t="s">
        <v>129</v>
      </c>
      <c r="C12" s="9" t="s">
        <v>130</v>
      </c>
      <c r="D12" s="9" t="s">
        <v>71</v>
      </c>
      <c r="E12" s="9" t="s">
        <v>72</v>
      </c>
      <c r="F12" s="9" t="s">
        <v>131</v>
      </c>
      <c r="G12" s="9" t="s">
        <v>132</v>
      </c>
      <c r="H12" s="9" t="s">
        <v>133</v>
      </c>
      <c r="I12" s="9" t="s">
        <v>134</v>
      </c>
      <c r="J12" s="11"/>
      <c r="K12" s="11" t="s">
        <v>46</v>
      </c>
      <c r="L12" s="11"/>
      <c r="M12" s="11"/>
      <c r="N12" s="11"/>
    </row>
    <row r="13" spans="1:14">
      <c r="A13" s="10" t="s">
        <v>135</v>
      </c>
      <c r="B13" s="9" t="s">
        <v>129</v>
      </c>
      <c r="C13" s="9" t="s">
        <v>136</v>
      </c>
      <c r="D13" s="9" t="s">
        <v>84</v>
      </c>
      <c r="E13" s="9" t="s">
        <v>72</v>
      </c>
      <c r="F13" s="9" t="s">
        <v>78</v>
      </c>
      <c r="G13" s="9" t="s">
        <v>137</v>
      </c>
      <c r="H13" s="9" t="s">
        <v>78</v>
      </c>
      <c r="I13" s="9" t="s">
        <v>138</v>
      </c>
      <c r="J13" s="11"/>
      <c r="K13" s="11" t="s">
        <v>46</v>
      </c>
      <c r="L13" s="11"/>
      <c r="M13" s="11"/>
      <c r="N13" s="11"/>
    </row>
    <row r="14" spans="1:14">
      <c r="A14" s="10" t="s">
        <v>139</v>
      </c>
      <c r="B14" s="9" t="s">
        <v>129</v>
      </c>
      <c r="C14" s="9" t="s">
        <v>140</v>
      </c>
      <c r="D14" s="9" t="s">
        <v>107</v>
      </c>
      <c r="E14" s="9" t="s">
        <v>72</v>
      </c>
      <c r="F14" s="9" t="s">
        <v>78</v>
      </c>
      <c r="G14" s="9" t="s">
        <v>141</v>
      </c>
      <c r="H14" s="9" t="s">
        <v>78</v>
      </c>
      <c r="I14" s="9" t="s">
        <v>142</v>
      </c>
      <c r="J14" s="11"/>
      <c r="K14" s="11" t="s">
        <v>46</v>
      </c>
      <c r="L14" s="11"/>
      <c r="M14" s="11"/>
      <c r="N14" s="11"/>
    </row>
    <row r="15" spans="1:14">
      <c r="A15" s="10" t="s">
        <v>143</v>
      </c>
      <c r="B15" s="9" t="s">
        <v>129</v>
      </c>
      <c r="C15" s="9" t="s">
        <v>144</v>
      </c>
      <c r="D15" s="9" t="s">
        <v>107</v>
      </c>
      <c r="E15" s="9" t="s">
        <v>72</v>
      </c>
      <c r="F15" s="9" t="s">
        <v>145</v>
      </c>
      <c r="G15" s="9" t="s">
        <v>146</v>
      </c>
      <c r="H15" s="9" t="s">
        <v>78</v>
      </c>
      <c r="I15" s="9" t="s">
        <v>147</v>
      </c>
      <c r="J15" s="11"/>
      <c r="K15" s="11" t="s">
        <v>46</v>
      </c>
      <c r="L15" s="11"/>
      <c r="M15" s="11"/>
      <c r="N15" s="11"/>
    </row>
    <row r="16" spans="1:14">
      <c r="A16" s="10" t="s">
        <v>148</v>
      </c>
      <c r="B16" s="9" t="s">
        <v>129</v>
      </c>
      <c r="C16" s="9" t="s">
        <v>149</v>
      </c>
      <c r="D16" s="9" t="s">
        <v>84</v>
      </c>
      <c r="E16" s="9" t="s">
        <v>72</v>
      </c>
      <c r="F16" s="9" t="s">
        <v>150</v>
      </c>
      <c r="G16" s="9" t="s">
        <v>151</v>
      </c>
      <c r="H16" s="9" t="s">
        <v>78</v>
      </c>
      <c r="I16" s="9" t="s">
        <v>152</v>
      </c>
      <c r="J16" s="11"/>
      <c r="K16" s="11" t="s">
        <v>46</v>
      </c>
      <c r="L16" s="11"/>
      <c r="M16" s="11"/>
      <c r="N16" s="11"/>
    </row>
    <row r="17" spans="1:14">
      <c r="A17" s="10" t="s">
        <v>153</v>
      </c>
      <c r="B17" s="9" t="s">
        <v>154</v>
      </c>
      <c r="C17" s="9" t="s">
        <v>155</v>
      </c>
      <c r="D17" s="9" t="s">
        <v>71</v>
      </c>
      <c r="E17" s="9" t="s">
        <v>72</v>
      </c>
      <c r="F17" s="9" t="s">
        <v>78</v>
      </c>
      <c r="G17" s="9" t="s">
        <v>156</v>
      </c>
      <c r="H17" s="9" t="s">
        <v>157</v>
      </c>
      <c r="I17" s="9" t="s">
        <v>158</v>
      </c>
      <c r="J17" s="11"/>
      <c r="K17" s="11" t="s">
        <v>46</v>
      </c>
      <c r="L17" s="11"/>
      <c r="M17" s="11"/>
      <c r="N17" s="11"/>
    </row>
    <row r="18" spans="1:14">
      <c r="A18" s="10" t="s">
        <v>159</v>
      </c>
      <c r="B18" s="9" t="s">
        <v>154</v>
      </c>
      <c r="C18" s="9" t="s">
        <v>160</v>
      </c>
      <c r="D18" s="9" t="s">
        <v>84</v>
      </c>
      <c r="E18" s="9" t="s">
        <v>72</v>
      </c>
      <c r="F18" s="9" t="s">
        <v>78</v>
      </c>
      <c r="G18" s="9" t="s">
        <v>161</v>
      </c>
      <c r="H18" s="9" t="s">
        <v>78</v>
      </c>
      <c r="I18" s="9" t="s">
        <v>162</v>
      </c>
      <c r="J18" s="11"/>
      <c r="K18" s="11" t="s">
        <v>46</v>
      </c>
      <c r="L18" s="11"/>
      <c r="M18" s="11"/>
      <c r="N18" s="11"/>
    </row>
    <row r="19" spans="1:14">
      <c r="A19" s="10" t="s">
        <v>163</v>
      </c>
      <c r="B19" s="9" t="s">
        <v>154</v>
      </c>
      <c r="C19" s="9" t="s">
        <v>164</v>
      </c>
      <c r="D19" s="9" t="s">
        <v>71</v>
      </c>
      <c r="E19" s="9" t="s">
        <v>72</v>
      </c>
      <c r="F19" s="9" t="s">
        <v>78</v>
      </c>
      <c r="G19" s="9" t="s">
        <v>165</v>
      </c>
      <c r="H19" s="9" t="s">
        <v>78</v>
      </c>
      <c r="I19" s="9" t="s">
        <v>166</v>
      </c>
      <c r="J19" s="11"/>
      <c r="K19" s="11" t="s">
        <v>46</v>
      </c>
      <c r="L19" s="11"/>
      <c r="M19" s="11"/>
      <c r="N19" s="11"/>
    </row>
    <row r="20" spans="1:14">
      <c r="A20" s="10" t="s">
        <v>167</v>
      </c>
      <c r="B20" s="9" t="s">
        <v>154</v>
      </c>
      <c r="C20" s="9" t="s">
        <v>168</v>
      </c>
      <c r="D20" s="9" t="s">
        <v>71</v>
      </c>
      <c r="E20" s="9" t="s">
        <v>72</v>
      </c>
      <c r="F20" s="9" t="s">
        <v>78</v>
      </c>
      <c r="G20" s="9" t="s">
        <v>169</v>
      </c>
      <c r="H20" s="9" t="s">
        <v>78</v>
      </c>
      <c r="I20" s="9" t="s">
        <v>170</v>
      </c>
      <c r="J20" s="11"/>
      <c r="K20" s="11" t="s">
        <v>46</v>
      </c>
      <c r="L20" s="11"/>
      <c r="M20" s="11"/>
      <c r="N20" s="11"/>
    </row>
    <row r="21" spans="1:14">
      <c r="A21" s="10" t="s">
        <v>171</v>
      </c>
      <c r="B21" s="9" t="s">
        <v>154</v>
      </c>
      <c r="C21" s="9" t="s">
        <v>172</v>
      </c>
      <c r="D21" s="9" t="s">
        <v>71</v>
      </c>
      <c r="E21" s="9" t="s">
        <v>72</v>
      </c>
      <c r="F21" s="9" t="s">
        <v>173</v>
      </c>
      <c r="G21" s="9" t="s">
        <v>174</v>
      </c>
      <c r="H21" s="9" t="s">
        <v>78</v>
      </c>
      <c r="I21" s="9" t="s">
        <v>175</v>
      </c>
      <c r="J21" s="11"/>
      <c r="K21" s="11" t="s">
        <v>46</v>
      </c>
      <c r="L21" s="11"/>
      <c r="M21" s="11"/>
      <c r="N21" s="11"/>
    </row>
    <row r="22" spans="1:14">
      <c r="A22" s="10" t="s">
        <v>176</v>
      </c>
      <c r="B22" s="9" t="s">
        <v>154</v>
      </c>
      <c r="C22" s="9" t="s">
        <v>177</v>
      </c>
      <c r="D22" s="9" t="s">
        <v>71</v>
      </c>
      <c r="E22" s="9" t="s">
        <v>72</v>
      </c>
      <c r="F22" s="9" t="s">
        <v>178</v>
      </c>
      <c r="G22" s="9" t="s">
        <v>179</v>
      </c>
      <c r="H22" s="9" t="s">
        <v>78</v>
      </c>
      <c r="I22" s="9" t="s">
        <v>180</v>
      </c>
      <c r="J22" s="11"/>
      <c r="K22" s="11" t="s">
        <v>46</v>
      </c>
      <c r="L22" s="11"/>
      <c r="M22" s="11"/>
      <c r="N22" s="11"/>
    </row>
    <row r="23" spans="1:14">
      <c r="A23" s="10" t="s">
        <v>181</v>
      </c>
      <c r="B23" s="9" t="s">
        <v>154</v>
      </c>
      <c r="C23" s="9" t="s">
        <v>182</v>
      </c>
      <c r="D23" s="9" t="s">
        <v>71</v>
      </c>
      <c r="E23" s="9" t="s">
        <v>72</v>
      </c>
      <c r="F23" s="9" t="s">
        <v>173</v>
      </c>
      <c r="G23" s="9" t="s">
        <v>183</v>
      </c>
      <c r="H23" s="9" t="s">
        <v>78</v>
      </c>
      <c r="I23" s="9" t="s">
        <v>184</v>
      </c>
      <c r="J23" s="11"/>
      <c r="K23" s="11" t="s">
        <v>46</v>
      </c>
      <c r="L23" s="11"/>
      <c r="M23" s="11"/>
      <c r="N23" s="11"/>
    </row>
    <row r="24" spans="1:14">
      <c r="A24" s="10" t="s">
        <v>185</v>
      </c>
      <c r="B24" s="9" t="s">
        <v>154</v>
      </c>
      <c r="C24" s="9" t="s">
        <v>186</v>
      </c>
      <c r="D24" s="9" t="s">
        <v>84</v>
      </c>
      <c r="E24" s="9" t="s">
        <v>72</v>
      </c>
      <c r="F24" s="9" t="s">
        <v>78</v>
      </c>
      <c r="G24" s="9" t="s">
        <v>187</v>
      </c>
      <c r="H24" s="9" t="s">
        <v>188</v>
      </c>
      <c r="I24" s="9" t="s">
        <v>189</v>
      </c>
      <c r="J24" s="11"/>
      <c r="K24" s="11" t="s">
        <v>46</v>
      </c>
      <c r="L24" s="11"/>
      <c r="M24" s="11"/>
      <c r="N24" s="11"/>
    </row>
    <row r="25" spans="1:14">
      <c r="A25" s="10" t="s">
        <v>190</v>
      </c>
      <c r="B25" s="9" t="s">
        <v>154</v>
      </c>
      <c r="C25" s="9" t="s">
        <v>191</v>
      </c>
      <c r="D25" s="9" t="s">
        <v>84</v>
      </c>
      <c r="E25" s="9" t="s">
        <v>72</v>
      </c>
      <c r="F25" s="9" t="s">
        <v>192</v>
      </c>
      <c r="G25" s="9" t="s">
        <v>193</v>
      </c>
      <c r="H25" s="9" t="s">
        <v>78</v>
      </c>
      <c r="I25" s="9" t="s">
        <v>194</v>
      </c>
      <c r="J25" s="11"/>
      <c r="K25" s="11" t="s">
        <v>46</v>
      </c>
      <c r="L25" s="11"/>
      <c r="M25" s="11"/>
      <c r="N25" s="11"/>
    </row>
    <row r="26" spans="1:14">
      <c r="A26" s="10" t="s">
        <v>195</v>
      </c>
      <c r="B26" s="9" t="s">
        <v>154</v>
      </c>
      <c r="C26" s="9" t="s">
        <v>196</v>
      </c>
      <c r="D26" s="9" t="s">
        <v>107</v>
      </c>
      <c r="E26" s="9" t="s">
        <v>72</v>
      </c>
      <c r="F26" s="9" t="s">
        <v>78</v>
      </c>
      <c r="G26" s="9" t="s">
        <v>197</v>
      </c>
      <c r="H26" s="9" t="s">
        <v>78</v>
      </c>
      <c r="I26" s="9" t="s">
        <v>198</v>
      </c>
      <c r="J26" s="11"/>
      <c r="K26" s="11" t="s">
        <v>46</v>
      </c>
      <c r="L26" s="11"/>
      <c r="M26" s="11"/>
      <c r="N26" s="11"/>
    </row>
    <row r="27" spans="1:14">
      <c r="A27" s="10" t="s">
        <v>199</v>
      </c>
      <c r="B27" s="9" t="s">
        <v>200</v>
      </c>
      <c r="C27" s="9" t="s">
        <v>201</v>
      </c>
      <c r="D27" s="9" t="s">
        <v>84</v>
      </c>
      <c r="E27" s="9" t="s">
        <v>72</v>
      </c>
      <c r="F27" s="9" t="s">
        <v>78</v>
      </c>
      <c r="G27" s="9" t="s">
        <v>202</v>
      </c>
      <c r="H27" s="9" t="s">
        <v>78</v>
      </c>
      <c r="I27" s="9" t="s">
        <v>203</v>
      </c>
      <c r="J27" s="11"/>
      <c r="K27" s="11" t="s">
        <v>46</v>
      </c>
      <c r="L27" s="11"/>
      <c r="M27" s="11"/>
      <c r="N27" s="11"/>
    </row>
    <row r="28" spans="1:14">
      <c r="A28" s="10" t="s">
        <v>204</v>
      </c>
      <c r="B28" s="9" t="s">
        <v>200</v>
      </c>
      <c r="C28" s="9" t="s">
        <v>205</v>
      </c>
      <c r="D28" s="9" t="s">
        <v>71</v>
      </c>
      <c r="E28" s="9" t="s">
        <v>206</v>
      </c>
      <c r="F28" s="9" t="s">
        <v>78</v>
      </c>
      <c r="G28" s="9" t="s">
        <v>207</v>
      </c>
      <c r="H28" s="9" t="s">
        <v>78</v>
      </c>
      <c r="I28" s="9" t="s">
        <v>208</v>
      </c>
      <c r="J28" s="11"/>
      <c r="K28" s="11" t="s">
        <v>46</v>
      </c>
      <c r="L28" s="11"/>
      <c r="M28" s="11"/>
      <c r="N28" s="11"/>
    </row>
    <row r="29" spans="1:14">
      <c r="A29" s="10" t="s">
        <v>209</v>
      </c>
      <c r="B29" s="9" t="s">
        <v>200</v>
      </c>
      <c r="C29" s="9" t="s">
        <v>210</v>
      </c>
      <c r="D29" s="9" t="s">
        <v>84</v>
      </c>
      <c r="E29" s="9" t="s">
        <v>72</v>
      </c>
      <c r="F29" s="9" t="s">
        <v>78</v>
      </c>
      <c r="G29" s="9" t="s">
        <v>211</v>
      </c>
      <c r="H29" s="9" t="s">
        <v>78</v>
      </c>
      <c r="I29" s="9" t="s">
        <v>212</v>
      </c>
      <c r="J29" s="11"/>
      <c r="K29" s="11" t="s">
        <v>46</v>
      </c>
      <c r="L29" s="11"/>
      <c r="M29" s="11"/>
      <c r="N29" s="11"/>
    </row>
    <row r="30" spans="1:14">
      <c r="A30" s="10" t="s">
        <v>213</v>
      </c>
      <c r="B30" s="9" t="s">
        <v>200</v>
      </c>
      <c r="C30" s="9" t="s">
        <v>214</v>
      </c>
      <c r="D30" s="9" t="s">
        <v>84</v>
      </c>
      <c r="E30" s="9" t="s">
        <v>206</v>
      </c>
      <c r="F30" s="9" t="s">
        <v>78</v>
      </c>
      <c r="G30" s="9" t="s">
        <v>215</v>
      </c>
      <c r="H30" s="9" t="s">
        <v>78</v>
      </c>
      <c r="I30" s="9" t="s">
        <v>216</v>
      </c>
      <c r="J30" s="11"/>
      <c r="K30" s="11" t="s">
        <v>46</v>
      </c>
      <c r="L30" s="11"/>
      <c r="M30" s="11"/>
      <c r="N30" s="11"/>
    </row>
    <row r="31" spans="1:14">
      <c r="A31" s="10" t="s">
        <v>217</v>
      </c>
      <c r="B31" s="9" t="s">
        <v>218</v>
      </c>
      <c r="C31" s="9" t="s">
        <v>219</v>
      </c>
      <c r="D31" s="9" t="s">
        <v>71</v>
      </c>
      <c r="E31" s="9" t="s">
        <v>72</v>
      </c>
      <c r="F31" s="9" t="s">
        <v>78</v>
      </c>
      <c r="G31" s="9" t="s">
        <v>220</v>
      </c>
      <c r="H31" s="9" t="s">
        <v>221</v>
      </c>
      <c r="I31" s="9" t="s">
        <v>222</v>
      </c>
      <c r="J31" s="11"/>
      <c r="K31" s="11" t="s">
        <v>46</v>
      </c>
      <c r="L31" s="11"/>
      <c r="M31" s="11"/>
      <c r="N31" s="11"/>
    </row>
    <row r="32" spans="1:14">
      <c r="A32" s="10" t="s">
        <v>223</v>
      </c>
      <c r="B32" s="9" t="s">
        <v>218</v>
      </c>
      <c r="C32" s="9" t="s">
        <v>224</v>
      </c>
      <c r="D32" s="9" t="s">
        <v>84</v>
      </c>
      <c r="E32" s="9" t="s">
        <v>72</v>
      </c>
      <c r="F32" s="9" t="s">
        <v>78</v>
      </c>
      <c r="G32" s="9" t="s">
        <v>225</v>
      </c>
      <c r="H32" s="9" t="s">
        <v>226</v>
      </c>
      <c r="I32" s="9" t="s">
        <v>227</v>
      </c>
      <c r="J32" s="11"/>
      <c r="K32" s="11" t="s">
        <v>46</v>
      </c>
      <c r="L32" s="11"/>
      <c r="M32" s="11"/>
      <c r="N32" s="11"/>
    </row>
    <row r="33" spans="1:14">
      <c r="A33" s="10" t="s">
        <v>228</v>
      </c>
      <c r="B33" s="9" t="s">
        <v>218</v>
      </c>
      <c r="C33" s="9" t="s">
        <v>229</v>
      </c>
      <c r="D33" s="9" t="s">
        <v>84</v>
      </c>
      <c r="E33" s="9" t="s">
        <v>72</v>
      </c>
      <c r="F33" s="9" t="s">
        <v>230</v>
      </c>
      <c r="G33" s="9" t="s">
        <v>231</v>
      </c>
      <c r="H33" s="9" t="s">
        <v>78</v>
      </c>
      <c r="I33" s="9" t="s">
        <v>232</v>
      </c>
      <c r="J33" s="11"/>
      <c r="K33" s="11" t="s">
        <v>46</v>
      </c>
      <c r="L33" s="11"/>
      <c r="M33" s="11"/>
      <c r="N33" s="11"/>
    </row>
    <row r="34" spans="1:14">
      <c r="A34" s="10" t="s">
        <v>233</v>
      </c>
      <c r="B34" s="9" t="s">
        <v>218</v>
      </c>
      <c r="C34" s="9" t="s">
        <v>234</v>
      </c>
      <c r="D34" s="9" t="s">
        <v>71</v>
      </c>
      <c r="E34" s="9" t="s">
        <v>206</v>
      </c>
      <c r="F34" s="9" t="s">
        <v>78</v>
      </c>
      <c r="G34" s="9" t="s">
        <v>235</v>
      </c>
      <c r="H34" s="9" t="s">
        <v>236</v>
      </c>
      <c r="I34" s="9" t="s">
        <v>237</v>
      </c>
      <c r="J34" s="11"/>
      <c r="K34" s="11" t="s">
        <v>46</v>
      </c>
      <c r="L34" s="11"/>
      <c r="M34" s="11"/>
      <c r="N34" s="11"/>
    </row>
    <row r="35" spans="1:14">
      <c r="A35" s="10" t="s">
        <v>238</v>
      </c>
      <c r="B35" s="9" t="s">
        <v>239</v>
      </c>
      <c r="C35" s="9" t="s">
        <v>240</v>
      </c>
      <c r="D35" s="9" t="s">
        <v>84</v>
      </c>
      <c r="E35" s="9" t="s">
        <v>72</v>
      </c>
      <c r="F35" s="9" t="s">
        <v>78</v>
      </c>
      <c r="G35" s="9" t="s">
        <v>241</v>
      </c>
      <c r="H35" s="9" t="s">
        <v>78</v>
      </c>
      <c r="I35" s="9" t="s">
        <v>242</v>
      </c>
      <c r="J35" s="11"/>
      <c r="K35" s="11" t="s">
        <v>46</v>
      </c>
      <c r="L35" s="11"/>
      <c r="M35" s="11"/>
      <c r="N35" s="11"/>
    </row>
    <row r="36" spans="1:14">
      <c r="A36" s="10" t="s">
        <v>243</v>
      </c>
      <c r="B36" s="9" t="s">
        <v>239</v>
      </c>
      <c r="C36" s="9" t="s">
        <v>244</v>
      </c>
      <c r="D36" s="9" t="s">
        <v>84</v>
      </c>
      <c r="E36" s="9" t="s">
        <v>72</v>
      </c>
      <c r="F36" s="9" t="s">
        <v>78</v>
      </c>
      <c r="G36" s="9" t="s">
        <v>245</v>
      </c>
      <c r="H36" s="9" t="s">
        <v>246</v>
      </c>
      <c r="I36" s="9" t="s">
        <v>247</v>
      </c>
      <c r="J36" s="11"/>
      <c r="K36" s="11" t="s">
        <v>46</v>
      </c>
      <c r="L36" s="11"/>
      <c r="M36" s="11"/>
      <c r="N36" s="11"/>
    </row>
    <row r="37" spans="1:14">
      <c r="A37" s="10" t="s">
        <v>248</v>
      </c>
      <c r="B37" s="9" t="s">
        <v>239</v>
      </c>
      <c r="C37" s="9" t="s">
        <v>249</v>
      </c>
      <c r="D37" s="9" t="s">
        <v>107</v>
      </c>
      <c r="E37" s="9" t="s">
        <v>250</v>
      </c>
      <c r="F37" s="9" t="s">
        <v>78</v>
      </c>
      <c r="G37" s="9" t="s">
        <v>251</v>
      </c>
      <c r="H37" s="9" t="s">
        <v>78</v>
      </c>
      <c r="I37" s="9" t="s">
        <v>252</v>
      </c>
      <c r="J37" s="11"/>
      <c r="K37" s="11" t="s">
        <v>46</v>
      </c>
      <c r="L37" s="11"/>
      <c r="M37" s="11"/>
      <c r="N37" s="11"/>
    </row>
    <row r="38" spans="1:14">
      <c r="A38" s="10" t="s">
        <v>253</v>
      </c>
      <c r="B38" s="9" t="s">
        <v>239</v>
      </c>
      <c r="C38" s="9" t="s">
        <v>254</v>
      </c>
      <c r="D38" s="9" t="s">
        <v>107</v>
      </c>
      <c r="E38" s="9" t="s">
        <v>72</v>
      </c>
      <c r="F38" s="9" t="s">
        <v>255</v>
      </c>
      <c r="G38" s="9" t="s">
        <v>256</v>
      </c>
      <c r="H38" s="9" t="s">
        <v>78</v>
      </c>
      <c r="I38" s="9" t="s">
        <v>257</v>
      </c>
      <c r="J38" s="11"/>
      <c r="K38" s="11" t="s">
        <v>46</v>
      </c>
      <c r="L38" s="11"/>
      <c r="M38" s="11"/>
      <c r="N38" s="11"/>
    </row>
    <row r="39" spans="1:14">
      <c r="A39" s="10" t="s">
        <v>258</v>
      </c>
      <c r="B39" s="9" t="s">
        <v>259</v>
      </c>
      <c r="C39" s="9" t="s">
        <v>260</v>
      </c>
      <c r="D39" s="9" t="s">
        <v>71</v>
      </c>
      <c r="E39" s="9" t="s">
        <v>72</v>
      </c>
      <c r="F39" s="9" t="s">
        <v>131</v>
      </c>
      <c r="G39" s="9" t="s">
        <v>261</v>
      </c>
      <c r="H39" s="9" t="s">
        <v>78</v>
      </c>
      <c r="I39" s="9" t="s">
        <v>262</v>
      </c>
      <c r="J39" s="11"/>
      <c r="K39" s="11" t="s">
        <v>46</v>
      </c>
      <c r="L39" s="11"/>
      <c r="M39" s="11"/>
      <c r="N39" s="11"/>
    </row>
    <row r="40" spans="1:14">
      <c r="A40" s="10" t="s">
        <v>263</v>
      </c>
      <c r="B40" s="9" t="s">
        <v>259</v>
      </c>
      <c r="C40" s="9" t="s">
        <v>264</v>
      </c>
      <c r="D40" s="9" t="s">
        <v>84</v>
      </c>
      <c r="E40" s="9" t="s">
        <v>72</v>
      </c>
      <c r="F40" s="9" t="s">
        <v>78</v>
      </c>
      <c r="G40" s="9" t="s">
        <v>265</v>
      </c>
      <c r="H40" s="9" t="s">
        <v>78</v>
      </c>
      <c r="I40" s="9" t="s">
        <v>266</v>
      </c>
      <c r="J40" s="11"/>
      <c r="K40" s="11" t="s">
        <v>46</v>
      </c>
      <c r="L40" s="11"/>
      <c r="M40" s="11"/>
      <c r="N40" s="11"/>
    </row>
    <row r="41" spans="1:14">
      <c r="A41" s="10" t="s">
        <v>267</v>
      </c>
      <c r="B41" s="9" t="s">
        <v>259</v>
      </c>
      <c r="C41" s="9" t="s">
        <v>268</v>
      </c>
      <c r="D41" s="9" t="s">
        <v>71</v>
      </c>
      <c r="E41" s="9" t="s">
        <v>72</v>
      </c>
      <c r="F41" s="9" t="s">
        <v>269</v>
      </c>
      <c r="G41" s="9" t="s">
        <v>270</v>
      </c>
      <c r="H41" s="9" t="s">
        <v>78</v>
      </c>
      <c r="I41" s="9" t="s">
        <v>271</v>
      </c>
      <c r="J41" s="11"/>
      <c r="K41" s="11" t="s">
        <v>46</v>
      </c>
      <c r="L41" s="11"/>
      <c r="M41" s="11"/>
      <c r="N41" s="11"/>
    </row>
    <row r="42" spans="1:14">
      <c r="A42" s="10" t="s">
        <v>272</v>
      </c>
      <c r="B42" s="9" t="s">
        <v>259</v>
      </c>
      <c r="C42" s="9" t="s">
        <v>273</v>
      </c>
      <c r="D42" s="9" t="s">
        <v>71</v>
      </c>
      <c r="E42" s="9" t="s">
        <v>72</v>
      </c>
      <c r="F42" s="9" t="s">
        <v>78</v>
      </c>
      <c r="G42" s="9" t="s">
        <v>274</v>
      </c>
      <c r="H42" s="9" t="s">
        <v>78</v>
      </c>
      <c r="I42" s="9" t="s">
        <v>275</v>
      </c>
      <c r="J42" s="11"/>
      <c r="K42" s="11" t="s">
        <v>46</v>
      </c>
      <c r="L42" s="11"/>
      <c r="M42" s="11"/>
      <c r="N42" s="11"/>
    </row>
    <row r="43" spans="1:14">
      <c r="A43" s="10" t="s">
        <v>276</v>
      </c>
      <c r="B43" s="9" t="s">
        <v>259</v>
      </c>
      <c r="C43" s="9" t="s">
        <v>277</v>
      </c>
      <c r="D43" s="9" t="s">
        <v>71</v>
      </c>
      <c r="E43" s="9" t="s">
        <v>72</v>
      </c>
      <c r="F43" s="9" t="s">
        <v>78</v>
      </c>
      <c r="G43" s="9" t="s">
        <v>278</v>
      </c>
      <c r="H43" s="9" t="s">
        <v>78</v>
      </c>
      <c r="I43" s="9" t="s">
        <v>279</v>
      </c>
      <c r="J43" s="11"/>
      <c r="K43" s="11" t="s">
        <v>46</v>
      </c>
      <c r="L43" s="11"/>
      <c r="M43" s="11"/>
      <c r="N43" s="11"/>
    </row>
    <row r="44" spans="1:14">
      <c r="A44" s="10" t="s">
        <v>280</v>
      </c>
      <c r="B44" s="9" t="s">
        <v>259</v>
      </c>
      <c r="C44" s="9" t="s">
        <v>281</v>
      </c>
      <c r="D44" s="9" t="s">
        <v>84</v>
      </c>
      <c r="E44" s="9" t="s">
        <v>72</v>
      </c>
      <c r="F44" s="9" t="s">
        <v>78</v>
      </c>
      <c r="G44" s="9" t="s">
        <v>282</v>
      </c>
      <c r="H44" s="9" t="s">
        <v>78</v>
      </c>
      <c r="I44" s="9" t="s">
        <v>283</v>
      </c>
      <c r="J44" s="11"/>
      <c r="K44" s="11" t="s">
        <v>46</v>
      </c>
      <c r="L44" s="11"/>
      <c r="M44" s="11"/>
      <c r="N44" s="11"/>
    </row>
    <row r="45" spans="1:14">
      <c r="A45" s="10" t="s">
        <v>284</v>
      </c>
      <c r="B45" s="9" t="s">
        <v>259</v>
      </c>
      <c r="C45" s="9" t="s">
        <v>285</v>
      </c>
      <c r="D45" s="9" t="s">
        <v>84</v>
      </c>
      <c r="E45" s="9" t="s">
        <v>97</v>
      </c>
      <c r="F45" s="9" t="s">
        <v>78</v>
      </c>
      <c r="G45" s="9" t="s">
        <v>286</v>
      </c>
      <c r="H45" s="9" t="s">
        <v>78</v>
      </c>
      <c r="I45" s="9" t="s">
        <v>287</v>
      </c>
      <c r="J45" s="11"/>
      <c r="K45" s="11" t="s">
        <v>46</v>
      </c>
      <c r="L45" s="11"/>
      <c r="M45" s="11"/>
      <c r="N45" s="11"/>
    </row>
    <row r="46" spans="1:14">
      <c r="A46" s="10" t="s">
        <v>288</v>
      </c>
      <c r="B46" s="9" t="s">
        <v>289</v>
      </c>
      <c r="C46" s="9" t="s">
        <v>290</v>
      </c>
      <c r="D46" s="9" t="s">
        <v>71</v>
      </c>
      <c r="E46" s="9" t="s">
        <v>72</v>
      </c>
      <c r="F46" s="9" t="s">
        <v>291</v>
      </c>
      <c r="G46" s="9" t="s">
        <v>292</v>
      </c>
      <c r="H46" s="9" t="s">
        <v>78</v>
      </c>
      <c r="I46" s="9" t="s">
        <v>293</v>
      </c>
      <c r="J46" s="11"/>
      <c r="K46" s="11" t="s">
        <v>46</v>
      </c>
      <c r="L46" s="11"/>
      <c r="M46" s="11"/>
      <c r="N46" s="11"/>
    </row>
    <row r="47" spans="1:14">
      <c r="A47" s="10" t="s">
        <v>294</v>
      </c>
      <c r="B47" s="9" t="s">
        <v>289</v>
      </c>
      <c r="C47" s="9" t="s">
        <v>295</v>
      </c>
      <c r="D47" s="9" t="s">
        <v>84</v>
      </c>
      <c r="E47" s="9" t="s">
        <v>72</v>
      </c>
      <c r="F47" s="9" t="s">
        <v>296</v>
      </c>
      <c r="G47" s="9" t="s">
        <v>297</v>
      </c>
      <c r="H47" s="9" t="s">
        <v>78</v>
      </c>
      <c r="I47" s="9" t="s">
        <v>298</v>
      </c>
      <c r="J47" s="11"/>
      <c r="K47" s="11" t="s">
        <v>46</v>
      </c>
      <c r="L47" s="11"/>
      <c r="M47" s="11"/>
      <c r="N47" s="11"/>
    </row>
    <row r="48" spans="1:14">
      <c r="A48" s="10" t="s">
        <v>299</v>
      </c>
      <c r="B48" s="9" t="s">
        <v>289</v>
      </c>
      <c r="C48" s="9" t="s">
        <v>300</v>
      </c>
      <c r="D48" s="9" t="s">
        <v>107</v>
      </c>
      <c r="E48" s="9" t="s">
        <v>72</v>
      </c>
      <c r="F48" s="9" t="s">
        <v>301</v>
      </c>
      <c r="G48" s="9" t="s">
        <v>302</v>
      </c>
      <c r="H48" s="9" t="s">
        <v>78</v>
      </c>
      <c r="I48" s="9" t="s">
        <v>303</v>
      </c>
      <c r="J48" s="11"/>
      <c r="K48" s="11" t="s">
        <v>46</v>
      </c>
      <c r="L48" s="11"/>
      <c r="M48" s="11"/>
      <c r="N48" s="11"/>
    </row>
    <row r="49" spans="1:14">
      <c r="A49" s="10" t="s">
        <v>304</v>
      </c>
      <c r="B49" s="9" t="s">
        <v>289</v>
      </c>
      <c r="C49" s="9" t="s">
        <v>305</v>
      </c>
      <c r="D49" s="9" t="s">
        <v>71</v>
      </c>
      <c r="E49" s="9" t="s">
        <v>206</v>
      </c>
      <c r="F49" s="9" t="s">
        <v>306</v>
      </c>
      <c r="G49" s="9" t="s">
        <v>307</v>
      </c>
      <c r="H49" s="9" t="s">
        <v>78</v>
      </c>
      <c r="I49" s="9" t="s">
        <v>308</v>
      </c>
      <c r="J49" s="11"/>
      <c r="K49" s="11" t="s">
        <v>46</v>
      </c>
      <c r="L49" s="11"/>
      <c r="M49" s="11"/>
      <c r="N49" s="11"/>
    </row>
    <row r="50" spans="1:14">
      <c r="A50" s="10" t="s">
        <v>309</v>
      </c>
      <c r="B50" s="9" t="s">
        <v>289</v>
      </c>
      <c r="C50" s="9" t="s">
        <v>310</v>
      </c>
      <c r="D50" s="9" t="s">
        <v>107</v>
      </c>
      <c r="E50" s="9" t="s">
        <v>72</v>
      </c>
      <c r="F50" s="9" t="s">
        <v>311</v>
      </c>
      <c r="G50" s="9" t="s">
        <v>312</v>
      </c>
      <c r="H50" s="9" t="s">
        <v>78</v>
      </c>
      <c r="I50" s="9" t="s">
        <v>313</v>
      </c>
      <c r="J50" s="11"/>
      <c r="K50" s="11" t="s">
        <v>46</v>
      </c>
      <c r="L50" s="11"/>
      <c r="M50" s="11"/>
      <c r="N50" s="11"/>
    </row>
    <row r="51" spans="1:14">
      <c r="A51" s="10" t="s">
        <v>314</v>
      </c>
      <c r="B51" s="9" t="s">
        <v>315</v>
      </c>
      <c r="C51" s="9" t="s">
        <v>316</v>
      </c>
      <c r="D51" s="9" t="s">
        <v>84</v>
      </c>
      <c r="E51" s="9" t="s">
        <v>72</v>
      </c>
      <c r="F51" s="9" t="s">
        <v>78</v>
      </c>
      <c r="G51" s="9" t="s">
        <v>317</v>
      </c>
      <c r="H51" s="9" t="s">
        <v>78</v>
      </c>
      <c r="I51" s="9" t="s">
        <v>318</v>
      </c>
      <c r="J51" s="11"/>
      <c r="K51" s="11" t="s">
        <v>46</v>
      </c>
      <c r="L51" s="11"/>
      <c r="M51" s="11"/>
      <c r="N51" s="11"/>
    </row>
    <row r="52" spans="1:14">
      <c r="A52" s="10" t="s">
        <v>319</v>
      </c>
      <c r="B52" s="9" t="s">
        <v>315</v>
      </c>
      <c r="C52" s="9" t="s">
        <v>320</v>
      </c>
      <c r="D52" s="9" t="s">
        <v>71</v>
      </c>
      <c r="E52" s="9" t="s">
        <v>72</v>
      </c>
      <c r="F52" s="9" t="s">
        <v>78</v>
      </c>
      <c r="G52" s="9" t="s">
        <v>321</v>
      </c>
      <c r="H52" s="9" t="s">
        <v>78</v>
      </c>
      <c r="I52" s="9" t="s">
        <v>322</v>
      </c>
      <c r="J52" s="11"/>
      <c r="K52" s="11" t="s">
        <v>46</v>
      </c>
      <c r="L52" s="11"/>
      <c r="M52" s="11"/>
      <c r="N52" s="11"/>
    </row>
    <row r="53" spans="1:14">
      <c r="A53" s="10" t="s">
        <v>323</v>
      </c>
      <c r="B53" s="9" t="s">
        <v>315</v>
      </c>
      <c r="C53" s="9" t="s">
        <v>324</v>
      </c>
      <c r="D53" s="9" t="s">
        <v>71</v>
      </c>
      <c r="E53" s="9" t="s">
        <v>72</v>
      </c>
      <c r="F53" s="9" t="s">
        <v>78</v>
      </c>
      <c r="G53" s="9" t="s">
        <v>325</v>
      </c>
      <c r="H53" s="9" t="s">
        <v>78</v>
      </c>
      <c r="I53" s="9" t="s">
        <v>326</v>
      </c>
      <c r="J53" s="11"/>
      <c r="K53" s="11" t="s">
        <v>46</v>
      </c>
      <c r="L53" s="11"/>
      <c r="M53" s="11"/>
      <c r="N53" s="11"/>
    </row>
    <row r="54" spans="1:14">
      <c r="A54" s="10" t="s">
        <v>327</v>
      </c>
      <c r="B54" s="9" t="s">
        <v>315</v>
      </c>
      <c r="C54" s="9" t="s">
        <v>328</v>
      </c>
      <c r="D54" s="9" t="s">
        <v>84</v>
      </c>
      <c r="E54" s="9" t="s">
        <v>72</v>
      </c>
      <c r="F54" s="9" t="s">
        <v>329</v>
      </c>
      <c r="G54" s="9" t="s">
        <v>330</v>
      </c>
      <c r="H54" s="9" t="s">
        <v>78</v>
      </c>
      <c r="I54" s="9" t="s">
        <v>331</v>
      </c>
      <c r="J54" s="11"/>
      <c r="K54" s="11" t="s">
        <v>46</v>
      </c>
      <c r="L54" s="11"/>
      <c r="M54" s="11"/>
      <c r="N54" s="11"/>
    </row>
    <row r="55" spans="1:14">
      <c r="A55" s="10" t="s">
        <v>332</v>
      </c>
      <c r="B55" s="9" t="s">
        <v>315</v>
      </c>
      <c r="C55" s="9" t="s">
        <v>333</v>
      </c>
      <c r="D55" s="9" t="s">
        <v>107</v>
      </c>
      <c r="E55" s="9" t="s">
        <v>72</v>
      </c>
      <c r="F55" s="9" t="s">
        <v>78</v>
      </c>
      <c r="G55" s="9" t="s">
        <v>334</v>
      </c>
      <c r="H55" s="9" t="s">
        <v>78</v>
      </c>
      <c r="I55" s="9" t="s">
        <v>335</v>
      </c>
      <c r="J55" s="11"/>
      <c r="K55" s="11" t="s">
        <v>46</v>
      </c>
      <c r="L55" s="11"/>
      <c r="M55" s="11"/>
      <c r="N55" s="11"/>
    </row>
    <row r="56" spans="1:14">
      <c r="A56" s="10" t="s">
        <v>336</v>
      </c>
      <c r="B56" s="9" t="s">
        <v>315</v>
      </c>
      <c r="C56" s="9" t="s">
        <v>337</v>
      </c>
      <c r="D56" s="9" t="s">
        <v>84</v>
      </c>
      <c r="E56" s="9" t="s">
        <v>206</v>
      </c>
      <c r="F56" s="9" t="s">
        <v>78</v>
      </c>
      <c r="G56" s="9" t="s">
        <v>338</v>
      </c>
      <c r="H56" s="9" t="s">
        <v>78</v>
      </c>
      <c r="I56" s="9" t="s">
        <v>339</v>
      </c>
      <c r="J56" s="11"/>
      <c r="K56" s="11" t="s">
        <v>46</v>
      </c>
      <c r="L56" s="11"/>
      <c r="M56" s="11"/>
      <c r="N56" s="11"/>
    </row>
    <row r="57" spans="1:14">
      <c r="A57" s="10" t="s">
        <v>340</v>
      </c>
      <c r="B57" s="9" t="s">
        <v>315</v>
      </c>
      <c r="C57" s="9" t="s">
        <v>341</v>
      </c>
      <c r="D57" s="9" t="s">
        <v>107</v>
      </c>
      <c r="E57" s="9" t="s">
        <v>72</v>
      </c>
      <c r="F57" s="9" t="s">
        <v>78</v>
      </c>
      <c r="G57" s="9" t="s">
        <v>342</v>
      </c>
      <c r="H57" s="9" t="s">
        <v>78</v>
      </c>
      <c r="I57" s="9" t="s">
        <v>343</v>
      </c>
      <c r="J57" s="11"/>
      <c r="K57" s="11" t="s">
        <v>46</v>
      </c>
      <c r="L57" s="11"/>
      <c r="M57" s="11"/>
      <c r="N57" s="11"/>
    </row>
    <row r="58" spans="1:14">
      <c r="A58" s="10" t="s">
        <v>344</v>
      </c>
      <c r="B58" s="9" t="s">
        <v>315</v>
      </c>
      <c r="C58" s="9" t="s">
        <v>345</v>
      </c>
      <c r="D58" s="9" t="s">
        <v>84</v>
      </c>
      <c r="E58" s="9" t="s">
        <v>206</v>
      </c>
      <c r="F58" s="9" t="s">
        <v>78</v>
      </c>
      <c r="G58" s="9" t="s">
        <v>346</v>
      </c>
      <c r="H58" s="9" t="s">
        <v>78</v>
      </c>
      <c r="I58" s="9" t="s">
        <v>347</v>
      </c>
      <c r="J58" s="11"/>
      <c r="K58" s="11" t="s">
        <v>46</v>
      </c>
      <c r="L58" s="11"/>
      <c r="M58" s="11"/>
      <c r="N58" s="11"/>
    </row>
    <row r="59" spans="1:14">
      <c r="A59" s="10" t="s">
        <v>348</v>
      </c>
      <c r="B59" s="9" t="s">
        <v>315</v>
      </c>
      <c r="C59" s="9" t="s">
        <v>349</v>
      </c>
      <c r="D59" s="9" t="s">
        <v>84</v>
      </c>
      <c r="E59" s="9" t="s">
        <v>72</v>
      </c>
      <c r="F59" s="9" t="s">
        <v>78</v>
      </c>
      <c r="G59" s="9" t="s">
        <v>350</v>
      </c>
      <c r="H59" s="9" t="s">
        <v>78</v>
      </c>
      <c r="I59" s="9" t="s">
        <v>351</v>
      </c>
      <c r="J59" s="11"/>
      <c r="K59" s="11" t="s">
        <v>46</v>
      </c>
      <c r="L59" s="11"/>
      <c r="M59" s="11"/>
      <c r="N59" s="11"/>
    </row>
    <row r="60" spans="1:14">
      <c r="A60" s="10" t="s">
        <v>352</v>
      </c>
      <c r="B60" s="9" t="s">
        <v>315</v>
      </c>
      <c r="C60" s="9" t="s">
        <v>353</v>
      </c>
      <c r="D60" s="9" t="s">
        <v>71</v>
      </c>
      <c r="E60" s="9" t="s">
        <v>72</v>
      </c>
      <c r="F60" s="9" t="s">
        <v>78</v>
      </c>
      <c r="G60" s="9" t="s">
        <v>354</v>
      </c>
      <c r="H60" s="9" t="s">
        <v>78</v>
      </c>
      <c r="I60" s="9" t="s">
        <v>355</v>
      </c>
      <c r="J60" s="11"/>
      <c r="K60" s="11" t="s">
        <v>46</v>
      </c>
      <c r="L60" s="11"/>
      <c r="M60" s="11"/>
      <c r="N60" s="11"/>
    </row>
    <row r="61" spans="1:14">
      <c r="A61" s="10" t="s">
        <v>356</v>
      </c>
      <c r="B61" s="9" t="s">
        <v>315</v>
      </c>
      <c r="C61" s="9" t="s">
        <v>357</v>
      </c>
      <c r="D61" s="9" t="s">
        <v>107</v>
      </c>
      <c r="E61" s="9" t="s">
        <v>72</v>
      </c>
      <c r="F61" s="9" t="s">
        <v>78</v>
      </c>
      <c r="G61" s="9" t="s">
        <v>358</v>
      </c>
      <c r="H61" s="9" t="s">
        <v>359</v>
      </c>
      <c r="I61" s="9" t="s">
        <v>360</v>
      </c>
      <c r="J61" s="11"/>
      <c r="K61" s="11" t="s">
        <v>46</v>
      </c>
      <c r="L61" s="11"/>
      <c r="M61" s="11"/>
      <c r="N61" s="11"/>
    </row>
    <row r="62" spans="1:14">
      <c r="A62" s="10" t="s">
        <v>361</v>
      </c>
      <c r="B62" s="9" t="s">
        <v>362</v>
      </c>
      <c r="C62" s="9" t="s">
        <v>363</v>
      </c>
      <c r="D62" s="9" t="s">
        <v>107</v>
      </c>
      <c r="E62" s="9" t="s">
        <v>72</v>
      </c>
      <c r="F62" s="9" t="s">
        <v>78</v>
      </c>
      <c r="G62" s="9" t="s">
        <v>364</v>
      </c>
      <c r="H62" s="9" t="s">
        <v>78</v>
      </c>
      <c r="I62" s="9" t="s">
        <v>365</v>
      </c>
      <c r="J62" s="11"/>
      <c r="K62" s="11" t="s">
        <v>46</v>
      </c>
      <c r="L62" s="11"/>
      <c r="M62" s="11"/>
      <c r="N62" s="11"/>
    </row>
    <row r="63" spans="1:14">
      <c r="A63" s="10" t="s">
        <v>366</v>
      </c>
      <c r="B63" s="9" t="s">
        <v>367</v>
      </c>
      <c r="C63" s="9" t="s">
        <v>368</v>
      </c>
      <c r="D63" s="9" t="s">
        <v>71</v>
      </c>
      <c r="E63" s="9" t="s">
        <v>72</v>
      </c>
      <c r="F63" s="9" t="s">
        <v>78</v>
      </c>
      <c r="G63" s="9" t="s">
        <v>369</v>
      </c>
      <c r="H63" s="9" t="s">
        <v>370</v>
      </c>
      <c r="I63" s="9" t="s">
        <v>371</v>
      </c>
      <c r="J63" s="11"/>
      <c r="K63" s="11" t="s">
        <v>46</v>
      </c>
      <c r="L63" s="11"/>
      <c r="M63" s="11"/>
      <c r="N63" s="11"/>
    </row>
    <row r="64" spans="1:14">
      <c r="A64" s="10" t="s">
        <v>372</v>
      </c>
      <c r="B64" s="9" t="s">
        <v>367</v>
      </c>
      <c r="C64" s="9" t="s">
        <v>373</v>
      </c>
      <c r="D64" s="9" t="s">
        <v>84</v>
      </c>
      <c r="E64" s="9" t="s">
        <v>206</v>
      </c>
      <c r="F64" s="9" t="s">
        <v>374</v>
      </c>
      <c r="G64" s="9" t="s">
        <v>375</v>
      </c>
      <c r="H64" s="9" t="s">
        <v>78</v>
      </c>
      <c r="I64" s="9" t="s">
        <v>376</v>
      </c>
      <c r="J64" s="11"/>
      <c r="K64" s="11" t="s">
        <v>46</v>
      </c>
      <c r="L64" s="11"/>
      <c r="M64" s="11"/>
      <c r="N64" s="11"/>
    </row>
    <row r="65" spans="1:14">
      <c r="A65" s="10" t="s">
        <v>377</v>
      </c>
      <c r="B65" s="9" t="s">
        <v>378</v>
      </c>
      <c r="C65" s="9" t="s">
        <v>379</v>
      </c>
      <c r="D65" s="9" t="s">
        <v>71</v>
      </c>
      <c r="E65" s="9" t="s">
        <v>72</v>
      </c>
      <c r="F65" s="9" t="s">
        <v>78</v>
      </c>
      <c r="G65" s="9" t="s">
        <v>380</v>
      </c>
      <c r="H65" s="9" t="s">
        <v>78</v>
      </c>
      <c r="I65" s="9" t="s">
        <v>381</v>
      </c>
      <c r="J65" s="11"/>
      <c r="K65" s="11" t="s">
        <v>46</v>
      </c>
      <c r="L65" s="11"/>
      <c r="M65" s="11"/>
      <c r="N65" s="11"/>
    </row>
    <row r="66" spans="1:14">
      <c r="A66" s="10" t="s">
        <v>382</v>
      </c>
      <c r="B66" s="9" t="s">
        <v>378</v>
      </c>
      <c r="C66" s="9" t="s">
        <v>383</v>
      </c>
      <c r="D66" s="9" t="s">
        <v>84</v>
      </c>
      <c r="E66" s="9" t="s">
        <v>72</v>
      </c>
      <c r="F66" s="9" t="s">
        <v>78</v>
      </c>
      <c r="G66" s="9" t="s">
        <v>384</v>
      </c>
      <c r="H66" s="9" t="s">
        <v>78</v>
      </c>
      <c r="I66" s="9" t="s">
        <v>385</v>
      </c>
      <c r="J66" s="11"/>
      <c r="K66" s="11" t="s">
        <v>46</v>
      </c>
      <c r="L66" s="11"/>
      <c r="M66" s="11"/>
      <c r="N66" s="11"/>
    </row>
    <row r="67" spans="1:14">
      <c r="A67" s="10" t="s">
        <v>386</v>
      </c>
      <c r="B67" s="9" t="s">
        <v>387</v>
      </c>
      <c r="C67" s="9" t="s">
        <v>388</v>
      </c>
      <c r="D67" s="9" t="s">
        <v>84</v>
      </c>
      <c r="E67" s="9" t="s">
        <v>72</v>
      </c>
      <c r="F67" s="9" t="s">
        <v>78</v>
      </c>
      <c r="G67" s="9" t="s">
        <v>389</v>
      </c>
      <c r="H67" s="9" t="s">
        <v>390</v>
      </c>
      <c r="I67" s="9" t="s">
        <v>391</v>
      </c>
      <c r="J67" s="11"/>
      <c r="K67" s="11" t="s">
        <v>46</v>
      </c>
      <c r="L67" s="11"/>
      <c r="M67" s="11"/>
      <c r="N67" s="11"/>
    </row>
    <row r="68" spans="1:14">
      <c r="A68" s="10" t="s">
        <v>392</v>
      </c>
      <c r="B68" s="9" t="s">
        <v>387</v>
      </c>
      <c r="C68" s="9" t="s">
        <v>393</v>
      </c>
      <c r="D68" s="9" t="s">
        <v>84</v>
      </c>
      <c r="E68" s="9" t="s">
        <v>72</v>
      </c>
      <c r="F68" s="9" t="s">
        <v>78</v>
      </c>
      <c r="G68" s="9" t="s">
        <v>394</v>
      </c>
      <c r="H68" s="9" t="s">
        <v>78</v>
      </c>
      <c r="I68" s="9" t="s">
        <v>395</v>
      </c>
      <c r="J68" s="11"/>
      <c r="K68" s="11" t="s">
        <v>46</v>
      </c>
      <c r="L68" s="11"/>
      <c r="M68" s="11"/>
      <c r="N68" s="11"/>
    </row>
    <row r="69" spans="1:14">
      <c r="A69" s="10" t="s">
        <v>396</v>
      </c>
      <c r="B69" s="9" t="s">
        <v>387</v>
      </c>
      <c r="C69" s="9" t="s">
        <v>397</v>
      </c>
      <c r="D69" s="9" t="s">
        <v>84</v>
      </c>
      <c r="E69" s="9" t="s">
        <v>206</v>
      </c>
      <c r="F69" s="9" t="s">
        <v>78</v>
      </c>
      <c r="G69" s="9" t="s">
        <v>398</v>
      </c>
      <c r="H69" s="9" t="s">
        <v>78</v>
      </c>
      <c r="I69" s="9" t="s">
        <v>399</v>
      </c>
      <c r="J69" s="11"/>
      <c r="K69" s="11" t="s">
        <v>46</v>
      </c>
      <c r="L69" s="11"/>
      <c r="M69" s="11"/>
      <c r="N69" s="11"/>
    </row>
    <row r="70" spans="1:14">
      <c r="A70" s="10" t="s">
        <v>400</v>
      </c>
      <c r="B70" s="9" t="s">
        <v>387</v>
      </c>
      <c r="C70" s="9" t="s">
        <v>401</v>
      </c>
      <c r="D70" s="9" t="s">
        <v>107</v>
      </c>
      <c r="E70" s="9" t="s">
        <v>206</v>
      </c>
      <c r="F70" s="9" t="s">
        <v>78</v>
      </c>
      <c r="G70" s="9" t="s">
        <v>402</v>
      </c>
      <c r="H70" s="9" t="s">
        <v>78</v>
      </c>
      <c r="I70" s="9" t="s">
        <v>403</v>
      </c>
      <c r="J70" s="11"/>
      <c r="K70" s="11" t="s">
        <v>46</v>
      </c>
      <c r="L70" s="11"/>
      <c r="M70" s="11"/>
      <c r="N70" s="11"/>
    </row>
  </sheetData>
  <autoFilter ref="A1:N70"/>
  <conditionalFormatting sqref="K2:K70">
    <cfRule type="containsText" dxfId="0" priority="1" operator="containsText" text="Pass">
      <formula>NOT(ISERROR(SEARCH("Pass",K2)))</formula>
    </cfRule>
    <cfRule type="containsText" dxfId="1" priority="2" operator="containsText" text="Fail">
      <formula>NOT(ISERROR(SEARCH("Fail",K2)))</formula>
    </cfRule>
    <cfRule type="containsText" dxfId="2" priority="3" operator="containsText" text="Blocked">
      <formula>NOT(ISERROR(SEARCH("Blocked",K2)))</formula>
    </cfRule>
  </conditionalFormatting>
  <conditionalFormatting sqref="D2:D70">
    <cfRule type="containsText" dxfId="3" priority="4" operator="containsText" text="Tinggi">
      <formula>NOT(ISERROR(SEARCH("Tinggi",D2)))</formula>
    </cfRule>
    <cfRule type="containsText" dxfId="4" priority="5" operator="containsText" text="Sedang">
      <formula>NOT(ISERROR(SEARCH("Sedang",D2)))</formula>
    </cfRule>
    <cfRule type="containsText" dxfId="5" priority="6" operator="containsText" text="Rendah">
      <formula>NOT(ISERROR(SEARCH("Rendah",D2)))</formula>
    </cfRule>
  </conditionalFormatting>
  <dataValidations count="1">
    <dataValidation type="list" errorStyle="stop" operator="between" allowBlank="0" showDropDown="0" showInputMessage="0" showErrorMessage="1" errorTitle="Status" error="Pilih dari daftar." sqref="K2:K70">
      <formula1>"Belum diuji,Pass,Fail,Blocked"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N500"/>
  <sheetViews>
    <sheetView tabSelected="0" workbookViewId="0" showGridLines="true" showRowColHeaders="1">
      <pane xSplit="3" ySplit="1" activePane="bottomRight" state="frozen" topLeftCell="D2"/>
      <selection pane="bottomRight" activeCell="D2" sqref="D2:D27"/>
    </sheetView>
  </sheetViews>
  <sheetFormatPr defaultRowHeight="14.4" outlineLevelRow="0" outlineLevelCol="0"/>
  <cols>
    <col min="1" max="1" width="10" customWidth="true" style="0"/>
    <col min="2" max="2" width="16" customWidth="true" style="0"/>
    <col min="3" max="3" width="32" customWidth="true" style="0"/>
    <col min="4" max="4" width="10" customWidth="true" style="0"/>
    <col min="5" max="5" width="24" customWidth="true" style="0"/>
    <col min="6" max="6" width="28" customWidth="true" style="0"/>
    <col min="7" max="7" width="46" customWidth="true" style="0"/>
    <col min="8" max="8" width="22" customWidth="true" style="0"/>
    <col min="9" max="9" width="50" customWidth="true" style="0"/>
    <col min="10" max="10" width="30" customWidth="true" style="0"/>
    <col min="11" max="11" width="13" customWidth="true" style="0"/>
    <col min="12" max="12" width="18" customWidth="true" style="0"/>
    <col min="13" max="13" width="14" customWidth="true" style="0"/>
    <col min="14" max="14" width="13" customWidth="true" style="0"/>
  </cols>
  <sheetData>
    <row r="1" spans="1:14" customHeight="1" ht="28">
      <c r="A1" s="8" t="s">
        <v>56</v>
      </c>
      <c r="B1" s="8" t="s">
        <v>57</v>
      </c>
      <c r="C1" s="8" t="s">
        <v>58</v>
      </c>
      <c r="D1" s="8" t="s">
        <v>36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34</v>
      </c>
      <c r="L1" s="8" t="s">
        <v>65</v>
      </c>
      <c r="M1" s="8" t="s">
        <v>66</v>
      </c>
      <c r="N1" s="8" t="s">
        <v>67</v>
      </c>
    </row>
    <row r="2" spans="1:14">
      <c r="A2" s="10" t="s">
        <v>404</v>
      </c>
      <c r="B2" s="9" t="s">
        <v>405</v>
      </c>
      <c r="C2" s="9" t="s">
        <v>406</v>
      </c>
      <c r="D2" s="9" t="s">
        <v>71</v>
      </c>
      <c r="E2" s="9" t="s">
        <v>407</v>
      </c>
      <c r="F2" s="9" t="s">
        <v>408</v>
      </c>
      <c r="G2" s="9" t="s">
        <v>409</v>
      </c>
      <c r="H2" s="9" t="s">
        <v>410</v>
      </c>
      <c r="I2" s="9" t="s">
        <v>411</v>
      </c>
      <c r="J2" s="11"/>
      <c r="K2" s="11" t="s">
        <v>46</v>
      </c>
      <c r="L2" s="11"/>
      <c r="M2" s="11"/>
      <c r="N2" s="11"/>
    </row>
    <row r="3" spans="1:14">
      <c r="A3" s="10" t="s">
        <v>412</v>
      </c>
      <c r="B3" s="9" t="s">
        <v>69</v>
      </c>
      <c r="C3" s="9" t="s">
        <v>413</v>
      </c>
      <c r="D3" s="9" t="s">
        <v>71</v>
      </c>
      <c r="E3" s="9" t="s">
        <v>90</v>
      </c>
      <c r="F3" s="9" t="s">
        <v>78</v>
      </c>
      <c r="G3" s="9" t="s">
        <v>414</v>
      </c>
      <c r="H3" s="9" t="s">
        <v>78</v>
      </c>
      <c r="I3" s="9" t="s">
        <v>415</v>
      </c>
      <c r="J3" s="11"/>
      <c r="K3" s="11" t="s">
        <v>46</v>
      </c>
      <c r="L3" s="11"/>
      <c r="M3" s="11"/>
      <c r="N3" s="11"/>
    </row>
    <row r="4" spans="1:14">
      <c r="A4" s="10" t="s">
        <v>416</v>
      </c>
      <c r="B4" s="9" t="s">
        <v>69</v>
      </c>
      <c r="C4" s="9" t="s">
        <v>417</v>
      </c>
      <c r="D4" s="9" t="s">
        <v>71</v>
      </c>
      <c r="E4" s="9" t="s">
        <v>90</v>
      </c>
      <c r="F4" s="9" t="s">
        <v>418</v>
      </c>
      <c r="G4" s="9" t="s">
        <v>419</v>
      </c>
      <c r="H4" s="9" t="s">
        <v>78</v>
      </c>
      <c r="I4" s="9" t="s">
        <v>420</v>
      </c>
      <c r="J4" s="11"/>
      <c r="K4" s="11" t="s">
        <v>46</v>
      </c>
      <c r="L4" s="11"/>
      <c r="M4" s="11"/>
      <c r="N4" s="11"/>
    </row>
    <row r="5" spans="1:14">
      <c r="A5" s="10" t="s">
        <v>421</v>
      </c>
      <c r="B5" s="9" t="s">
        <v>69</v>
      </c>
      <c r="C5" s="9" t="s">
        <v>422</v>
      </c>
      <c r="D5" s="9" t="s">
        <v>84</v>
      </c>
      <c r="E5" s="9" t="s">
        <v>90</v>
      </c>
      <c r="F5" s="9" t="s">
        <v>423</v>
      </c>
      <c r="G5" s="9" t="s">
        <v>424</v>
      </c>
      <c r="H5" s="9" t="s">
        <v>78</v>
      </c>
      <c r="I5" s="9" t="s">
        <v>425</v>
      </c>
      <c r="J5" s="11"/>
      <c r="K5" s="11" t="s">
        <v>46</v>
      </c>
      <c r="L5" s="11"/>
      <c r="M5" s="11"/>
      <c r="N5" s="11"/>
    </row>
    <row r="6" spans="1:14">
      <c r="A6" s="10" t="s">
        <v>426</v>
      </c>
      <c r="B6" s="9" t="s">
        <v>69</v>
      </c>
      <c r="C6" s="9" t="s">
        <v>427</v>
      </c>
      <c r="D6" s="9" t="s">
        <v>107</v>
      </c>
      <c r="E6" s="9" t="s">
        <v>78</v>
      </c>
      <c r="F6" s="9" t="s">
        <v>78</v>
      </c>
      <c r="G6" s="9" t="s">
        <v>428</v>
      </c>
      <c r="H6" s="9" t="s">
        <v>78</v>
      </c>
      <c r="I6" s="9" t="s">
        <v>429</v>
      </c>
      <c r="J6" s="11"/>
      <c r="K6" s="11" t="s">
        <v>46</v>
      </c>
      <c r="L6" s="11"/>
      <c r="M6" s="11"/>
      <c r="N6" s="11"/>
    </row>
    <row r="7" spans="1:14">
      <c r="A7" s="10" t="s">
        <v>430</v>
      </c>
      <c r="B7" s="9" t="s">
        <v>431</v>
      </c>
      <c r="C7" s="9" t="s">
        <v>432</v>
      </c>
      <c r="D7" s="9" t="s">
        <v>71</v>
      </c>
      <c r="E7" s="9" t="s">
        <v>90</v>
      </c>
      <c r="F7" s="9" t="s">
        <v>78</v>
      </c>
      <c r="G7" s="9" t="s">
        <v>433</v>
      </c>
      <c r="H7" s="9" t="s">
        <v>78</v>
      </c>
      <c r="I7" s="9" t="s">
        <v>434</v>
      </c>
      <c r="J7" s="11"/>
      <c r="K7" s="11" t="s">
        <v>46</v>
      </c>
      <c r="L7" s="11"/>
      <c r="M7" s="11"/>
      <c r="N7" s="11"/>
    </row>
    <row r="8" spans="1:14">
      <c r="A8" s="10" t="s">
        <v>435</v>
      </c>
      <c r="B8" s="9" t="s">
        <v>436</v>
      </c>
      <c r="C8" s="9" t="s">
        <v>437</v>
      </c>
      <c r="D8" s="9" t="s">
        <v>71</v>
      </c>
      <c r="E8" s="9" t="s">
        <v>90</v>
      </c>
      <c r="F8" s="9" t="s">
        <v>438</v>
      </c>
      <c r="G8" s="9" t="s">
        <v>439</v>
      </c>
      <c r="H8" s="9" t="s">
        <v>78</v>
      </c>
      <c r="I8" s="9" t="s">
        <v>440</v>
      </c>
      <c r="J8" s="11"/>
      <c r="K8" s="11" t="s">
        <v>46</v>
      </c>
      <c r="L8" s="11"/>
      <c r="M8" s="11"/>
      <c r="N8" s="11"/>
    </row>
    <row r="9" spans="1:14">
      <c r="A9" s="10" t="s">
        <v>441</v>
      </c>
      <c r="B9" s="9" t="s">
        <v>436</v>
      </c>
      <c r="C9" s="9" t="s">
        <v>442</v>
      </c>
      <c r="D9" s="9" t="s">
        <v>71</v>
      </c>
      <c r="E9" s="9" t="s">
        <v>90</v>
      </c>
      <c r="F9" s="9" t="s">
        <v>443</v>
      </c>
      <c r="G9" s="9" t="s">
        <v>444</v>
      </c>
      <c r="H9" s="9" t="s">
        <v>78</v>
      </c>
      <c r="I9" s="9" t="s">
        <v>445</v>
      </c>
      <c r="J9" s="11"/>
      <c r="K9" s="11" t="s">
        <v>46</v>
      </c>
      <c r="L9" s="11"/>
      <c r="M9" s="11"/>
      <c r="N9" s="11"/>
    </row>
    <row r="10" spans="1:14">
      <c r="A10" s="10" t="s">
        <v>446</v>
      </c>
      <c r="B10" s="9" t="s">
        <v>436</v>
      </c>
      <c r="C10" s="9" t="s">
        <v>447</v>
      </c>
      <c r="D10" s="9" t="s">
        <v>71</v>
      </c>
      <c r="E10" s="9" t="s">
        <v>90</v>
      </c>
      <c r="F10" s="9" t="s">
        <v>78</v>
      </c>
      <c r="G10" s="9" t="s">
        <v>448</v>
      </c>
      <c r="H10" s="9" t="s">
        <v>78</v>
      </c>
      <c r="I10" s="9" t="s">
        <v>449</v>
      </c>
      <c r="J10" s="11"/>
      <c r="K10" s="11" t="s">
        <v>46</v>
      </c>
      <c r="L10" s="11"/>
      <c r="M10" s="11"/>
      <c r="N10" s="11"/>
    </row>
    <row r="11" spans="1:14">
      <c r="A11" s="10" t="s">
        <v>450</v>
      </c>
      <c r="B11" s="9" t="s">
        <v>436</v>
      </c>
      <c r="C11" s="9" t="s">
        <v>451</v>
      </c>
      <c r="D11" s="9" t="s">
        <v>84</v>
      </c>
      <c r="E11" s="9" t="s">
        <v>90</v>
      </c>
      <c r="F11" s="9" t="s">
        <v>78</v>
      </c>
      <c r="G11" s="9" t="s">
        <v>452</v>
      </c>
      <c r="H11" s="9" t="s">
        <v>78</v>
      </c>
      <c r="I11" s="9" t="s">
        <v>453</v>
      </c>
      <c r="J11" s="11"/>
      <c r="K11" s="11" t="s">
        <v>46</v>
      </c>
      <c r="L11" s="11"/>
      <c r="M11" s="11"/>
      <c r="N11" s="11"/>
    </row>
    <row r="12" spans="1:14">
      <c r="A12" s="10" t="s">
        <v>454</v>
      </c>
      <c r="B12" s="9" t="s">
        <v>436</v>
      </c>
      <c r="C12" s="9" t="s">
        <v>455</v>
      </c>
      <c r="D12" s="9" t="s">
        <v>71</v>
      </c>
      <c r="E12" s="9" t="s">
        <v>90</v>
      </c>
      <c r="F12" s="9" t="s">
        <v>456</v>
      </c>
      <c r="G12" s="9" t="s">
        <v>457</v>
      </c>
      <c r="H12" s="9" t="s">
        <v>78</v>
      </c>
      <c r="I12" s="9" t="s">
        <v>458</v>
      </c>
      <c r="J12" s="11"/>
      <c r="K12" s="11" t="s">
        <v>46</v>
      </c>
      <c r="L12" s="11"/>
      <c r="M12" s="11"/>
      <c r="N12" s="11"/>
    </row>
    <row r="13" spans="1:14">
      <c r="A13" s="10" t="s">
        <v>459</v>
      </c>
      <c r="B13" s="9" t="s">
        <v>436</v>
      </c>
      <c r="C13" s="9" t="s">
        <v>460</v>
      </c>
      <c r="D13" s="9" t="s">
        <v>71</v>
      </c>
      <c r="E13" s="9" t="s">
        <v>90</v>
      </c>
      <c r="F13" s="9" t="s">
        <v>461</v>
      </c>
      <c r="G13" s="9" t="s">
        <v>462</v>
      </c>
      <c r="H13" s="9" t="s">
        <v>78</v>
      </c>
      <c r="I13" s="9" t="s">
        <v>463</v>
      </c>
      <c r="J13" s="11"/>
      <c r="K13" s="11" t="s">
        <v>46</v>
      </c>
      <c r="L13" s="11"/>
      <c r="M13" s="11"/>
      <c r="N13" s="11"/>
    </row>
    <row r="14" spans="1:14">
      <c r="A14" s="10" t="s">
        <v>464</v>
      </c>
      <c r="B14" s="9" t="s">
        <v>436</v>
      </c>
      <c r="C14" s="9" t="s">
        <v>465</v>
      </c>
      <c r="D14" s="9" t="s">
        <v>71</v>
      </c>
      <c r="E14" s="9" t="s">
        <v>90</v>
      </c>
      <c r="F14" s="9" t="s">
        <v>461</v>
      </c>
      <c r="G14" s="9" t="s">
        <v>466</v>
      </c>
      <c r="H14" s="9" t="s">
        <v>78</v>
      </c>
      <c r="I14" s="9" t="s">
        <v>467</v>
      </c>
      <c r="J14" s="11"/>
      <c r="K14" s="11" t="s">
        <v>46</v>
      </c>
      <c r="L14" s="11"/>
      <c r="M14" s="11"/>
      <c r="N14" s="11"/>
    </row>
    <row r="15" spans="1:14">
      <c r="A15" s="10" t="s">
        <v>468</v>
      </c>
      <c r="B15" s="9" t="s">
        <v>436</v>
      </c>
      <c r="C15" s="9" t="s">
        <v>469</v>
      </c>
      <c r="D15" s="9" t="s">
        <v>71</v>
      </c>
      <c r="E15" s="9" t="s">
        <v>470</v>
      </c>
      <c r="F15" s="9" t="s">
        <v>471</v>
      </c>
      <c r="G15" s="9" t="s">
        <v>472</v>
      </c>
      <c r="H15" s="9" t="s">
        <v>473</v>
      </c>
      <c r="I15" s="9" t="s">
        <v>474</v>
      </c>
      <c r="J15" s="11"/>
      <c r="K15" s="11" t="s">
        <v>46</v>
      </c>
      <c r="L15" s="11"/>
      <c r="M15" s="11"/>
      <c r="N15" s="11"/>
    </row>
    <row r="16" spans="1:14">
      <c r="A16" s="10" t="s">
        <v>475</v>
      </c>
      <c r="B16" s="9" t="s">
        <v>436</v>
      </c>
      <c r="C16" s="9" t="s">
        <v>476</v>
      </c>
      <c r="D16" s="9" t="s">
        <v>84</v>
      </c>
      <c r="E16" s="9" t="s">
        <v>90</v>
      </c>
      <c r="F16" s="9" t="s">
        <v>477</v>
      </c>
      <c r="G16" s="9" t="s">
        <v>478</v>
      </c>
      <c r="H16" s="9" t="s">
        <v>78</v>
      </c>
      <c r="I16" s="9" t="s">
        <v>479</v>
      </c>
      <c r="J16" s="11"/>
      <c r="K16" s="11" t="s">
        <v>46</v>
      </c>
      <c r="L16" s="11"/>
      <c r="M16" s="11"/>
      <c r="N16" s="11"/>
    </row>
    <row r="17" spans="1:14">
      <c r="A17" s="10" t="s">
        <v>480</v>
      </c>
      <c r="B17" s="9" t="s">
        <v>481</v>
      </c>
      <c r="C17" s="9" t="s">
        <v>482</v>
      </c>
      <c r="D17" s="9" t="s">
        <v>71</v>
      </c>
      <c r="E17" s="9" t="s">
        <v>90</v>
      </c>
      <c r="F17" s="9" t="s">
        <v>483</v>
      </c>
      <c r="G17" s="9" t="s">
        <v>484</v>
      </c>
      <c r="H17" s="9" t="s">
        <v>78</v>
      </c>
      <c r="I17" s="9" t="s">
        <v>485</v>
      </c>
      <c r="J17" s="11"/>
      <c r="K17" s="11" t="s">
        <v>46</v>
      </c>
      <c r="L17" s="11"/>
      <c r="M17" s="11"/>
      <c r="N17" s="11"/>
    </row>
    <row r="18" spans="1:14">
      <c r="A18" s="10" t="s">
        <v>486</v>
      </c>
      <c r="B18" s="9" t="s">
        <v>481</v>
      </c>
      <c r="C18" s="9" t="s">
        <v>487</v>
      </c>
      <c r="D18" s="9" t="s">
        <v>84</v>
      </c>
      <c r="E18" s="9" t="s">
        <v>90</v>
      </c>
      <c r="F18" s="9" t="s">
        <v>78</v>
      </c>
      <c r="G18" s="9" t="s">
        <v>488</v>
      </c>
      <c r="H18" s="9" t="s">
        <v>78</v>
      </c>
      <c r="I18" s="9" t="s">
        <v>489</v>
      </c>
      <c r="J18" s="11"/>
      <c r="K18" s="11" t="s">
        <v>46</v>
      </c>
      <c r="L18" s="11"/>
      <c r="M18" s="11"/>
      <c r="N18" s="11"/>
    </row>
    <row r="19" spans="1:14">
      <c r="A19" s="10" t="s">
        <v>490</v>
      </c>
      <c r="B19" s="9" t="s">
        <v>481</v>
      </c>
      <c r="C19" s="9" t="s">
        <v>491</v>
      </c>
      <c r="D19" s="9" t="s">
        <v>84</v>
      </c>
      <c r="E19" s="9" t="s">
        <v>90</v>
      </c>
      <c r="F19" s="9" t="s">
        <v>492</v>
      </c>
      <c r="G19" s="9" t="s">
        <v>493</v>
      </c>
      <c r="H19" s="9" t="s">
        <v>78</v>
      </c>
      <c r="I19" s="9" t="s">
        <v>494</v>
      </c>
      <c r="J19" s="11"/>
      <c r="K19" s="11" t="s">
        <v>46</v>
      </c>
      <c r="L19" s="11"/>
      <c r="M19" s="11"/>
      <c r="N19" s="11"/>
    </row>
    <row r="20" spans="1:14">
      <c r="A20" s="10" t="s">
        <v>495</v>
      </c>
      <c r="B20" s="9" t="s">
        <v>496</v>
      </c>
      <c r="C20" s="9" t="s">
        <v>497</v>
      </c>
      <c r="D20" s="9" t="s">
        <v>84</v>
      </c>
      <c r="E20" s="9" t="s">
        <v>90</v>
      </c>
      <c r="F20" s="9" t="s">
        <v>131</v>
      </c>
      <c r="G20" s="9" t="s">
        <v>498</v>
      </c>
      <c r="H20" s="9" t="s">
        <v>78</v>
      </c>
      <c r="I20" s="9" t="s">
        <v>499</v>
      </c>
      <c r="J20" s="11"/>
      <c r="K20" s="11" t="s">
        <v>46</v>
      </c>
      <c r="L20" s="11"/>
      <c r="M20" s="11"/>
      <c r="N20" s="11"/>
    </row>
    <row r="21" spans="1:14">
      <c r="A21" s="10" t="s">
        <v>500</v>
      </c>
      <c r="B21" s="9" t="s">
        <v>501</v>
      </c>
      <c r="C21" s="9" t="s">
        <v>502</v>
      </c>
      <c r="D21" s="9" t="s">
        <v>71</v>
      </c>
      <c r="E21" s="9" t="s">
        <v>90</v>
      </c>
      <c r="F21" s="9" t="s">
        <v>78</v>
      </c>
      <c r="G21" s="9" t="s">
        <v>503</v>
      </c>
      <c r="H21" s="9" t="s">
        <v>78</v>
      </c>
      <c r="I21" s="9" t="s">
        <v>504</v>
      </c>
      <c r="J21" s="11"/>
      <c r="K21" s="11" t="s">
        <v>46</v>
      </c>
      <c r="L21" s="11"/>
      <c r="M21" s="11"/>
      <c r="N21" s="11"/>
    </row>
    <row r="22" spans="1:14">
      <c r="A22" s="10" t="s">
        <v>505</v>
      </c>
      <c r="B22" s="9" t="s">
        <v>501</v>
      </c>
      <c r="C22" s="9" t="s">
        <v>506</v>
      </c>
      <c r="D22" s="9" t="s">
        <v>84</v>
      </c>
      <c r="E22" s="9" t="s">
        <v>90</v>
      </c>
      <c r="F22" s="9" t="s">
        <v>296</v>
      </c>
      <c r="G22" s="9" t="s">
        <v>507</v>
      </c>
      <c r="H22" s="9" t="s">
        <v>78</v>
      </c>
      <c r="I22" s="9" t="s">
        <v>508</v>
      </c>
      <c r="J22" s="11"/>
      <c r="K22" s="11" t="s">
        <v>46</v>
      </c>
      <c r="L22" s="11"/>
      <c r="M22" s="11"/>
      <c r="N22" s="11"/>
    </row>
    <row r="23" spans="1:14">
      <c r="A23" s="10" t="s">
        <v>509</v>
      </c>
      <c r="B23" s="9" t="s">
        <v>510</v>
      </c>
      <c r="C23" s="9" t="s">
        <v>511</v>
      </c>
      <c r="D23" s="9" t="s">
        <v>71</v>
      </c>
      <c r="E23" s="9" t="s">
        <v>97</v>
      </c>
      <c r="F23" s="9" t="s">
        <v>296</v>
      </c>
      <c r="G23" s="9" t="s">
        <v>512</v>
      </c>
      <c r="H23" s="9" t="s">
        <v>78</v>
      </c>
      <c r="I23" s="9" t="s">
        <v>513</v>
      </c>
      <c r="J23" s="11"/>
      <c r="K23" s="11" t="s">
        <v>46</v>
      </c>
      <c r="L23" s="11"/>
      <c r="M23" s="11"/>
      <c r="N23" s="11"/>
    </row>
    <row r="24" spans="1:14">
      <c r="A24" s="10" t="s">
        <v>514</v>
      </c>
      <c r="B24" s="9" t="s">
        <v>510</v>
      </c>
      <c r="C24" s="9" t="s">
        <v>515</v>
      </c>
      <c r="D24" s="9" t="s">
        <v>84</v>
      </c>
      <c r="E24" s="9" t="s">
        <v>90</v>
      </c>
      <c r="F24" s="9" t="s">
        <v>78</v>
      </c>
      <c r="G24" s="9" t="s">
        <v>516</v>
      </c>
      <c r="H24" s="9" t="s">
        <v>78</v>
      </c>
      <c r="I24" s="9" t="s">
        <v>517</v>
      </c>
      <c r="J24" s="11"/>
      <c r="K24" s="11" t="s">
        <v>46</v>
      </c>
      <c r="L24" s="11"/>
      <c r="M24" s="11"/>
      <c r="N24" s="11"/>
    </row>
    <row r="25" spans="1:14">
      <c r="A25" s="10" t="s">
        <v>518</v>
      </c>
      <c r="B25" s="9" t="s">
        <v>519</v>
      </c>
      <c r="C25" s="9" t="s">
        <v>520</v>
      </c>
      <c r="D25" s="9" t="s">
        <v>71</v>
      </c>
      <c r="E25" s="9" t="s">
        <v>521</v>
      </c>
      <c r="F25" s="9" t="s">
        <v>522</v>
      </c>
      <c r="G25" s="9" t="s">
        <v>523</v>
      </c>
      <c r="H25" s="9" t="s">
        <v>78</v>
      </c>
      <c r="I25" s="9" t="s">
        <v>524</v>
      </c>
      <c r="J25" s="11"/>
      <c r="K25" s="11" t="s">
        <v>46</v>
      </c>
      <c r="L25" s="11"/>
      <c r="M25" s="11"/>
      <c r="N25" s="11"/>
    </row>
    <row r="26" spans="1:14">
      <c r="A26" s="10" t="s">
        <v>525</v>
      </c>
      <c r="B26" s="9" t="s">
        <v>526</v>
      </c>
      <c r="C26" s="9" t="s">
        <v>527</v>
      </c>
      <c r="D26" s="9" t="s">
        <v>71</v>
      </c>
      <c r="E26" s="9" t="s">
        <v>90</v>
      </c>
      <c r="F26" s="9" t="s">
        <v>528</v>
      </c>
      <c r="G26" s="9" t="s">
        <v>529</v>
      </c>
      <c r="H26" s="9" t="s">
        <v>78</v>
      </c>
      <c r="I26" s="9" t="s">
        <v>530</v>
      </c>
      <c r="J26" s="11"/>
      <c r="K26" s="11" t="s">
        <v>46</v>
      </c>
      <c r="L26" s="11"/>
      <c r="M26" s="11"/>
      <c r="N26" s="11"/>
    </row>
    <row r="27" spans="1:14">
      <c r="A27" s="10" t="s">
        <v>531</v>
      </c>
      <c r="B27" s="9" t="s">
        <v>532</v>
      </c>
      <c r="C27" s="9" t="s">
        <v>106</v>
      </c>
      <c r="D27" s="9" t="s">
        <v>107</v>
      </c>
      <c r="E27" s="9" t="s">
        <v>90</v>
      </c>
      <c r="F27" s="9" t="s">
        <v>78</v>
      </c>
      <c r="G27" s="9" t="s">
        <v>533</v>
      </c>
      <c r="H27" s="9" t="s">
        <v>78</v>
      </c>
      <c r="I27" s="9" t="s">
        <v>534</v>
      </c>
      <c r="J27" s="11"/>
      <c r="K27" s="11" t="s">
        <v>46</v>
      </c>
      <c r="L27" s="11"/>
      <c r="M27" s="11"/>
      <c r="N27" s="11"/>
    </row>
  </sheetData>
  <autoFilter ref="A1:N27"/>
  <conditionalFormatting sqref="K2:K27">
    <cfRule type="containsText" dxfId="0" priority="1" operator="containsText" text="Pass">
      <formula>NOT(ISERROR(SEARCH("Pass",K2)))</formula>
    </cfRule>
    <cfRule type="containsText" dxfId="1" priority="2" operator="containsText" text="Fail">
      <formula>NOT(ISERROR(SEARCH("Fail",K2)))</formula>
    </cfRule>
    <cfRule type="containsText" dxfId="2" priority="3" operator="containsText" text="Blocked">
      <formula>NOT(ISERROR(SEARCH("Blocked",K2)))</formula>
    </cfRule>
  </conditionalFormatting>
  <conditionalFormatting sqref="D2:D27">
    <cfRule type="containsText" dxfId="3" priority="4" operator="containsText" text="Tinggi">
      <formula>NOT(ISERROR(SEARCH("Tinggi",D2)))</formula>
    </cfRule>
    <cfRule type="containsText" dxfId="4" priority="5" operator="containsText" text="Sedang">
      <formula>NOT(ISERROR(SEARCH("Sedang",D2)))</formula>
    </cfRule>
    <cfRule type="containsText" dxfId="5" priority="6" operator="containsText" text="Rendah">
      <formula>NOT(ISERROR(SEARCH("Rendah",D2)))</formula>
    </cfRule>
  </conditionalFormatting>
  <dataValidations count="1">
    <dataValidation type="list" errorStyle="stop" operator="between" allowBlank="0" showDropDown="0" showInputMessage="0" showErrorMessage="1" errorTitle="Status" error="Pilih dari daftar." sqref="K2:K27">
      <formula1>"Belum diuji,Pass,Fail,Blocked"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N500"/>
  <sheetViews>
    <sheetView tabSelected="0" workbookViewId="0" showGridLines="true" showRowColHeaders="1">
      <pane xSplit="3" ySplit="1" activePane="bottomRight" state="frozen" topLeftCell="D2"/>
      <selection pane="bottomRight" activeCell="D2" sqref="D2:D18"/>
    </sheetView>
  </sheetViews>
  <sheetFormatPr defaultRowHeight="14.4" outlineLevelRow="0" outlineLevelCol="0"/>
  <cols>
    <col min="1" max="1" width="10" customWidth="true" style="0"/>
    <col min="2" max="2" width="16" customWidth="true" style="0"/>
    <col min="3" max="3" width="32" customWidth="true" style="0"/>
    <col min="4" max="4" width="10" customWidth="true" style="0"/>
    <col min="5" max="5" width="24" customWidth="true" style="0"/>
    <col min="6" max="6" width="28" customWidth="true" style="0"/>
    <col min="7" max="7" width="46" customWidth="true" style="0"/>
    <col min="8" max="8" width="22" customWidth="true" style="0"/>
    <col min="9" max="9" width="50" customWidth="true" style="0"/>
    <col min="10" max="10" width="30" customWidth="true" style="0"/>
    <col min="11" max="11" width="13" customWidth="true" style="0"/>
    <col min="12" max="12" width="18" customWidth="true" style="0"/>
    <col min="13" max="13" width="14" customWidth="true" style="0"/>
    <col min="14" max="14" width="13" customWidth="true" style="0"/>
  </cols>
  <sheetData>
    <row r="1" spans="1:14" customHeight="1" ht="28">
      <c r="A1" s="8" t="s">
        <v>56</v>
      </c>
      <c r="B1" s="8" t="s">
        <v>57</v>
      </c>
      <c r="C1" s="8" t="s">
        <v>58</v>
      </c>
      <c r="D1" s="8" t="s">
        <v>36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34</v>
      </c>
      <c r="L1" s="8" t="s">
        <v>65</v>
      </c>
      <c r="M1" s="8" t="s">
        <v>66</v>
      </c>
      <c r="N1" s="8" t="s">
        <v>67</v>
      </c>
    </row>
    <row r="2" spans="1:14">
      <c r="A2" s="10" t="s">
        <v>535</v>
      </c>
      <c r="B2" s="9" t="s">
        <v>536</v>
      </c>
      <c r="C2" s="9" t="s">
        <v>537</v>
      </c>
      <c r="D2" s="9" t="s">
        <v>71</v>
      </c>
      <c r="E2" s="9" t="s">
        <v>72</v>
      </c>
      <c r="F2" s="9" t="s">
        <v>538</v>
      </c>
      <c r="G2" s="9" t="s">
        <v>539</v>
      </c>
      <c r="H2" s="9" t="s">
        <v>540</v>
      </c>
      <c r="I2" s="9" t="s">
        <v>541</v>
      </c>
      <c r="J2" s="11"/>
      <c r="K2" s="11" t="s">
        <v>46</v>
      </c>
      <c r="L2" s="11"/>
      <c r="M2" s="11"/>
      <c r="N2" s="11"/>
    </row>
    <row r="3" spans="1:14">
      <c r="A3" s="10" t="s">
        <v>542</v>
      </c>
      <c r="B3" s="9" t="s">
        <v>543</v>
      </c>
      <c r="C3" s="9" t="s">
        <v>544</v>
      </c>
      <c r="D3" s="9" t="s">
        <v>71</v>
      </c>
      <c r="E3" s="9" t="s">
        <v>72</v>
      </c>
      <c r="F3" s="9" t="s">
        <v>545</v>
      </c>
      <c r="G3" s="9" t="s">
        <v>546</v>
      </c>
      <c r="H3" s="9" t="s">
        <v>78</v>
      </c>
      <c r="I3" s="9" t="s">
        <v>547</v>
      </c>
      <c r="J3" s="11"/>
      <c r="K3" s="11" t="s">
        <v>46</v>
      </c>
      <c r="L3" s="11"/>
      <c r="M3" s="11"/>
      <c r="N3" s="11"/>
    </row>
    <row r="4" spans="1:14">
      <c r="A4" s="10" t="s">
        <v>548</v>
      </c>
      <c r="B4" s="9" t="s">
        <v>124</v>
      </c>
      <c r="C4" s="9" t="s">
        <v>549</v>
      </c>
      <c r="D4" s="9" t="s">
        <v>84</v>
      </c>
      <c r="E4" s="9" t="s">
        <v>72</v>
      </c>
      <c r="F4" s="9" t="s">
        <v>78</v>
      </c>
      <c r="G4" s="9" t="s">
        <v>550</v>
      </c>
      <c r="H4" s="9" t="s">
        <v>78</v>
      </c>
      <c r="I4" s="9" t="s">
        <v>551</v>
      </c>
      <c r="J4" s="11"/>
      <c r="K4" s="11" t="s">
        <v>46</v>
      </c>
      <c r="L4" s="11"/>
      <c r="M4" s="11"/>
      <c r="N4" s="11"/>
    </row>
    <row r="5" spans="1:14">
      <c r="A5" s="10" t="s">
        <v>552</v>
      </c>
      <c r="B5" s="9" t="s">
        <v>553</v>
      </c>
      <c r="C5" s="9" t="s">
        <v>554</v>
      </c>
      <c r="D5" s="9" t="s">
        <v>71</v>
      </c>
      <c r="E5" s="9" t="s">
        <v>72</v>
      </c>
      <c r="F5" s="9" t="s">
        <v>555</v>
      </c>
      <c r="G5" s="9" t="s">
        <v>556</v>
      </c>
      <c r="H5" s="9" t="s">
        <v>78</v>
      </c>
      <c r="I5" s="9" t="s">
        <v>557</v>
      </c>
      <c r="J5" s="11"/>
      <c r="K5" s="11" t="s">
        <v>46</v>
      </c>
      <c r="L5" s="11"/>
      <c r="M5" s="11"/>
      <c r="N5" s="11"/>
    </row>
    <row r="6" spans="1:14">
      <c r="A6" s="10" t="s">
        <v>558</v>
      </c>
      <c r="B6" s="9" t="s">
        <v>553</v>
      </c>
      <c r="C6" s="9" t="s">
        <v>559</v>
      </c>
      <c r="D6" s="9" t="s">
        <v>84</v>
      </c>
      <c r="E6" s="9" t="s">
        <v>72</v>
      </c>
      <c r="F6" s="9" t="s">
        <v>352</v>
      </c>
      <c r="G6" s="9" t="s">
        <v>560</v>
      </c>
      <c r="H6" s="9" t="s">
        <v>78</v>
      </c>
      <c r="I6" s="9" t="s">
        <v>561</v>
      </c>
      <c r="J6" s="11"/>
      <c r="K6" s="11" t="s">
        <v>46</v>
      </c>
      <c r="L6" s="11"/>
      <c r="M6" s="11"/>
      <c r="N6" s="11"/>
    </row>
    <row r="7" spans="1:14">
      <c r="A7" s="10" t="s">
        <v>562</v>
      </c>
      <c r="B7" s="9" t="s">
        <v>563</v>
      </c>
      <c r="C7" s="9" t="s">
        <v>564</v>
      </c>
      <c r="D7" s="9" t="s">
        <v>84</v>
      </c>
      <c r="E7" s="9" t="s">
        <v>72</v>
      </c>
      <c r="F7" s="9" t="s">
        <v>78</v>
      </c>
      <c r="G7" s="9" t="s">
        <v>565</v>
      </c>
      <c r="H7" s="9" t="s">
        <v>78</v>
      </c>
      <c r="I7" s="9" t="s">
        <v>566</v>
      </c>
      <c r="J7" s="11"/>
      <c r="K7" s="11" t="s">
        <v>46</v>
      </c>
      <c r="L7" s="11"/>
      <c r="M7" s="11"/>
      <c r="N7" s="11"/>
    </row>
    <row r="8" spans="1:14">
      <c r="A8" s="10" t="s">
        <v>567</v>
      </c>
      <c r="B8" s="9" t="s">
        <v>568</v>
      </c>
      <c r="C8" s="9" t="s">
        <v>569</v>
      </c>
      <c r="D8" s="9" t="s">
        <v>84</v>
      </c>
      <c r="E8" s="9" t="s">
        <v>72</v>
      </c>
      <c r="F8" s="9" t="s">
        <v>78</v>
      </c>
      <c r="G8" s="9" t="s">
        <v>570</v>
      </c>
      <c r="H8" s="9" t="s">
        <v>78</v>
      </c>
      <c r="I8" s="9" t="s">
        <v>571</v>
      </c>
      <c r="J8" s="11"/>
      <c r="K8" s="11" t="s">
        <v>46</v>
      </c>
      <c r="L8" s="11"/>
      <c r="M8" s="11"/>
      <c r="N8" s="11"/>
    </row>
    <row r="9" spans="1:14">
      <c r="A9" s="10" t="s">
        <v>572</v>
      </c>
      <c r="B9" s="9" t="s">
        <v>573</v>
      </c>
      <c r="C9" s="9" t="s">
        <v>574</v>
      </c>
      <c r="D9" s="9" t="s">
        <v>71</v>
      </c>
      <c r="E9" s="9" t="s">
        <v>72</v>
      </c>
      <c r="F9" s="9" t="s">
        <v>575</v>
      </c>
      <c r="G9" s="9" t="s">
        <v>576</v>
      </c>
      <c r="H9" s="9" t="s">
        <v>78</v>
      </c>
      <c r="I9" s="9" t="s">
        <v>577</v>
      </c>
      <c r="J9" s="11"/>
      <c r="K9" s="11" t="s">
        <v>46</v>
      </c>
      <c r="L9" s="11"/>
      <c r="M9" s="11"/>
      <c r="N9" s="11"/>
    </row>
    <row r="10" spans="1:14">
      <c r="A10" s="10" t="s">
        <v>578</v>
      </c>
      <c r="B10" s="9" t="s">
        <v>573</v>
      </c>
      <c r="C10" s="9" t="s">
        <v>579</v>
      </c>
      <c r="D10" s="9" t="s">
        <v>71</v>
      </c>
      <c r="E10" s="9" t="s">
        <v>72</v>
      </c>
      <c r="F10" s="9" t="s">
        <v>78</v>
      </c>
      <c r="G10" s="9" t="s">
        <v>580</v>
      </c>
      <c r="H10" s="9" t="s">
        <v>78</v>
      </c>
      <c r="I10" s="9" t="s">
        <v>581</v>
      </c>
      <c r="J10" s="11"/>
      <c r="K10" s="11" t="s">
        <v>46</v>
      </c>
      <c r="L10" s="11"/>
      <c r="M10" s="11"/>
      <c r="N10" s="11"/>
    </row>
    <row r="11" spans="1:14">
      <c r="A11" s="10" t="s">
        <v>582</v>
      </c>
      <c r="B11" s="9" t="s">
        <v>583</v>
      </c>
      <c r="C11" s="9" t="s">
        <v>584</v>
      </c>
      <c r="D11" s="9" t="s">
        <v>71</v>
      </c>
      <c r="E11" s="9" t="s">
        <v>72</v>
      </c>
      <c r="F11" s="9" t="s">
        <v>585</v>
      </c>
      <c r="G11" s="9" t="s">
        <v>586</v>
      </c>
      <c r="H11" s="9" t="s">
        <v>78</v>
      </c>
      <c r="I11" s="9" t="s">
        <v>587</v>
      </c>
      <c r="J11" s="11"/>
      <c r="K11" s="11" t="s">
        <v>46</v>
      </c>
      <c r="L11" s="11"/>
      <c r="M11" s="11"/>
      <c r="N11" s="11"/>
    </row>
    <row r="12" spans="1:14">
      <c r="A12" s="10" t="s">
        <v>588</v>
      </c>
      <c r="B12" s="9" t="s">
        <v>583</v>
      </c>
      <c r="C12" s="9" t="s">
        <v>589</v>
      </c>
      <c r="D12" s="9" t="s">
        <v>84</v>
      </c>
      <c r="E12" s="9" t="s">
        <v>72</v>
      </c>
      <c r="F12" s="9" t="s">
        <v>590</v>
      </c>
      <c r="G12" s="9" t="s">
        <v>591</v>
      </c>
      <c r="H12" s="9" t="s">
        <v>78</v>
      </c>
      <c r="I12" s="9" t="s">
        <v>592</v>
      </c>
      <c r="J12" s="11"/>
      <c r="K12" s="11" t="s">
        <v>46</v>
      </c>
      <c r="L12" s="11"/>
      <c r="M12" s="11"/>
      <c r="N12" s="11"/>
    </row>
    <row r="13" spans="1:14">
      <c r="A13" s="10" t="s">
        <v>593</v>
      </c>
      <c r="B13" s="9" t="s">
        <v>594</v>
      </c>
      <c r="C13" s="9" t="s">
        <v>595</v>
      </c>
      <c r="D13" s="9" t="s">
        <v>84</v>
      </c>
      <c r="E13" s="9" t="s">
        <v>72</v>
      </c>
      <c r="F13" s="9" t="s">
        <v>596</v>
      </c>
      <c r="G13" s="9" t="s">
        <v>597</v>
      </c>
      <c r="H13" s="9" t="s">
        <v>78</v>
      </c>
      <c r="I13" s="9" t="s">
        <v>598</v>
      </c>
      <c r="J13" s="11"/>
      <c r="K13" s="11" t="s">
        <v>46</v>
      </c>
      <c r="L13" s="11"/>
      <c r="M13" s="11"/>
      <c r="N13" s="11"/>
    </row>
    <row r="14" spans="1:14">
      <c r="A14" s="10" t="s">
        <v>599</v>
      </c>
      <c r="B14" s="9" t="s">
        <v>496</v>
      </c>
      <c r="C14" s="9" t="s">
        <v>600</v>
      </c>
      <c r="D14" s="9" t="s">
        <v>84</v>
      </c>
      <c r="E14" s="9" t="s">
        <v>72</v>
      </c>
      <c r="F14" s="9" t="s">
        <v>601</v>
      </c>
      <c r="G14" s="9" t="s">
        <v>602</v>
      </c>
      <c r="H14" s="9" t="s">
        <v>78</v>
      </c>
      <c r="I14" s="9" t="s">
        <v>603</v>
      </c>
      <c r="J14" s="11"/>
      <c r="K14" s="11" t="s">
        <v>46</v>
      </c>
      <c r="L14" s="11"/>
      <c r="M14" s="11"/>
      <c r="N14" s="11"/>
    </row>
    <row r="15" spans="1:14">
      <c r="A15" s="10" t="s">
        <v>604</v>
      </c>
      <c r="B15" s="9" t="s">
        <v>496</v>
      </c>
      <c r="C15" s="9" t="s">
        <v>605</v>
      </c>
      <c r="D15" s="9" t="s">
        <v>107</v>
      </c>
      <c r="E15" s="9" t="s">
        <v>72</v>
      </c>
      <c r="F15" s="9" t="s">
        <v>78</v>
      </c>
      <c r="G15" s="9" t="s">
        <v>606</v>
      </c>
      <c r="H15" s="9" t="s">
        <v>78</v>
      </c>
      <c r="I15" s="9" t="s">
        <v>607</v>
      </c>
      <c r="J15" s="11"/>
      <c r="K15" s="11" t="s">
        <v>46</v>
      </c>
      <c r="L15" s="11"/>
      <c r="M15" s="11"/>
      <c r="N15" s="11"/>
    </row>
    <row r="16" spans="1:14">
      <c r="A16" s="10" t="s">
        <v>608</v>
      </c>
      <c r="B16" s="9" t="s">
        <v>95</v>
      </c>
      <c r="C16" s="9" t="s">
        <v>609</v>
      </c>
      <c r="D16" s="9" t="s">
        <v>84</v>
      </c>
      <c r="E16" s="9" t="s">
        <v>97</v>
      </c>
      <c r="F16" s="9" t="s">
        <v>78</v>
      </c>
      <c r="G16" s="9" t="s">
        <v>610</v>
      </c>
      <c r="H16" s="9" t="s">
        <v>78</v>
      </c>
      <c r="I16" s="9" t="s">
        <v>611</v>
      </c>
      <c r="J16" s="11"/>
      <c r="K16" s="11" t="s">
        <v>46</v>
      </c>
      <c r="L16" s="11"/>
      <c r="M16" s="11"/>
      <c r="N16" s="11"/>
    </row>
    <row r="17" spans="1:14">
      <c r="A17" s="10" t="s">
        <v>612</v>
      </c>
      <c r="B17" s="9" t="s">
        <v>613</v>
      </c>
      <c r="C17" s="9" t="s">
        <v>614</v>
      </c>
      <c r="D17" s="9" t="s">
        <v>107</v>
      </c>
      <c r="E17" s="9" t="s">
        <v>72</v>
      </c>
      <c r="F17" s="9" t="s">
        <v>615</v>
      </c>
      <c r="G17" s="9" t="s">
        <v>616</v>
      </c>
      <c r="H17" s="9" t="s">
        <v>78</v>
      </c>
      <c r="I17" s="9" t="s">
        <v>617</v>
      </c>
      <c r="J17" s="11"/>
      <c r="K17" s="11" t="s">
        <v>46</v>
      </c>
      <c r="L17" s="11"/>
      <c r="M17" s="11"/>
      <c r="N17" s="11"/>
    </row>
    <row r="18" spans="1:14">
      <c r="A18" s="10" t="s">
        <v>618</v>
      </c>
      <c r="B18" s="9" t="s">
        <v>619</v>
      </c>
      <c r="C18" s="9" t="s">
        <v>620</v>
      </c>
      <c r="D18" s="9" t="s">
        <v>107</v>
      </c>
      <c r="E18" s="9" t="s">
        <v>72</v>
      </c>
      <c r="F18" s="9" t="s">
        <v>78</v>
      </c>
      <c r="G18" s="9" t="s">
        <v>621</v>
      </c>
      <c r="H18" s="9" t="s">
        <v>78</v>
      </c>
      <c r="I18" s="9" t="s">
        <v>622</v>
      </c>
      <c r="J18" s="11"/>
      <c r="K18" s="11" t="s">
        <v>46</v>
      </c>
      <c r="L18" s="11"/>
      <c r="M18" s="11"/>
      <c r="N18" s="11"/>
    </row>
  </sheetData>
  <autoFilter ref="A1:N18"/>
  <conditionalFormatting sqref="K2:K18">
    <cfRule type="containsText" dxfId="0" priority="1" operator="containsText" text="Pass">
      <formula>NOT(ISERROR(SEARCH("Pass",K2)))</formula>
    </cfRule>
    <cfRule type="containsText" dxfId="1" priority="2" operator="containsText" text="Fail">
      <formula>NOT(ISERROR(SEARCH("Fail",K2)))</formula>
    </cfRule>
    <cfRule type="containsText" dxfId="2" priority="3" operator="containsText" text="Blocked">
      <formula>NOT(ISERROR(SEARCH("Blocked",K2)))</formula>
    </cfRule>
  </conditionalFormatting>
  <conditionalFormatting sqref="D2:D18">
    <cfRule type="containsText" dxfId="3" priority="4" operator="containsText" text="Tinggi">
      <formula>NOT(ISERROR(SEARCH("Tinggi",D2)))</formula>
    </cfRule>
    <cfRule type="containsText" dxfId="4" priority="5" operator="containsText" text="Sedang">
      <formula>NOT(ISERROR(SEARCH("Sedang",D2)))</formula>
    </cfRule>
    <cfRule type="containsText" dxfId="5" priority="6" operator="containsText" text="Rendah">
      <formula>NOT(ISERROR(SEARCH("Rendah",D2)))</formula>
    </cfRule>
  </conditionalFormatting>
  <dataValidations count="1">
    <dataValidation type="list" errorStyle="stop" operator="between" allowBlank="0" showDropDown="0" showInputMessage="0" showErrorMessage="1" errorTitle="Status" error="Pilih dari daftar." sqref="K2:K18">
      <formula1>"Belum diuji,Pass,Fail,Blocked"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N500"/>
  <sheetViews>
    <sheetView tabSelected="0" workbookViewId="0" showGridLines="true" showRowColHeaders="1">
      <pane xSplit="3" ySplit="1" activePane="bottomRight" state="frozen" topLeftCell="D2"/>
      <selection pane="bottomRight" activeCell="D2" sqref="D2:D14"/>
    </sheetView>
  </sheetViews>
  <sheetFormatPr defaultRowHeight="14.4" outlineLevelRow="0" outlineLevelCol="0"/>
  <cols>
    <col min="1" max="1" width="10" customWidth="true" style="0"/>
    <col min="2" max="2" width="16" customWidth="true" style="0"/>
    <col min="3" max="3" width="32" customWidth="true" style="0"/>
    <col min="4" max="4" width="10" customWidth="true" style="0"/>
    <col min="5" max="5" width="24" customWidth="true" style="0"/>
    <col min="6" max="6" width="28" customWidth="true" style="0"/>
    <col min="7" max="7" width="46" customWidth="true" style="0"/>
    <col min="8" max="8" width="22" customWidth="true" style="0"/>
    <col min="9" max="9" width="50" customWidth="true" style="0"/>
    <col min="10" max="10" width="30" customWidth="true" style="0"/>
    <col min="11" max="11" width="13" customWidth="true" style="0"/>
    <col min="12" max="12" width="18" customWidth="true" style="0"/>
    <col min="13" max="13" width="14" customWidth="true" style="0"/>
    <col min="14" max="14" width="13" customWidth="true" style="0"/>
  </cols>
  <sheetData>
    <row r="1" spans="1:14" customHeight="1" ht="28">
      <c r="A1" s="8" t="s">
        <v>56</v>
      </c>
      <c r="B1" s="8" t="s">
        <v>57</v>
      </c>
      <c r="C1" s="8" t="s">
        <v>58</v>
      </c>
      <c r="D1" s="8" t="s">
        <v>36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34</v>
      </c>
      <c r="L1" s="8" t="s">
        <v>65</v>
      </c>
      <c r="M1" s="8" t="s">
        <v>66</v>
      </c>
      <c r="N1" s="8" t="s">
        <v>67</v>
      </c>
    </row>
    <row r="2" spans="1:14">
      <c r="A2" s="10" t="s">
        <v>623</v>
      </c>
      <c r="B2" s="9" t="s">
        <v>526</v>
      </c>
      <c r="C2" s="9" t="s">
        <v>624</v>
      </c>
      <c r="D2" s="9" t="s">
        <v>71</v>
      </c>
      <c r="E2" s="9" t="s">
        <v>90</v>
      </c>
      <c r="F2" s="9" t="s">
        <v>625</v>
      </c>
      <c r="G2" s="9" t="s">
        <v>626</v>
      </c>
      <c r="H2" s="9" t="s">
        <v>78</v>
      </c>
      <c r="I2" s="9" t="s">
        <v>627</v>
      </c>
      <c r="J2" s="11"/>
      <c r="K2" s="11" t="s">
        <v>46</v>
      </c>
      <c r="L2" s="11"/>
      <c r="M2" s="11"/>
      <c r="N2" s="11"/>
    </row>
    <row r="3" spans="1:14">
      <c r="A3" s="10" t="s">
        <v>628</v>
      </c>
      <c r="B3" s="9" t="s">
        <v>629</v>
      </c>
      <c r="C3" s="9" t="s">
        <v>630</v>
      </c>
      <c r="D3" s="9" t="s">
        <v>84</v>
      </c>
      <c r="E3" s="9" t="s">
        <v>631</v>
      </c>
      <c r="F3" s="9" t="s">
        <v>632</v>
      </c>
      <c r="G3" s="9" t="s">
        <v>633</v>
      </c>
      <c r="H3" s="9" t="s">
        <v>78</v>
      </c>
      <c r="I3" s="9" t="s">
        <v>634</v>
      </c>
      <c r="J3" s="11"/>
      <c r="K3" s="11" t="s">
        <v>46</v>
      </c>
      <c r="L3" s="11"/>
      <c r="M3" s="11"/>
      <c r="N3" s="11"/>
    </row>
    <row r="4" spans="1:14">
      <c r="A4" s="10" t="s">
        <v>635</v>
      </c>
      <c r="B4" s="9" t="s">
        <v>636</v>
      </c>
      <c r="C4" s="9" t="s">
        <v>637</v>
      </c>
      <c r="D4" s="9" t="s">
        <v>71</v>
      </c>
      <c r="E4" s="9" t="s">
        <v>638</v>
      </c>
      <c r="F4" s="9" t="s">
        <v>639</v>
      </c>
      <c r="G4" s="9" t="s">
        <v>640</v>
      </c>
      <c r="H4" s="9" t="s">
        <v>641</v>
      </c>
      <c r="I4" s="9" t="s">
        <v>642</v>
      </c>
      <c r="J4" s="11"/>
      <c r="K4" s="11" t="s">
        <v>46</v>
      </c>
      <c r="L4" s="11"/>
      <c r="M4" s="11"/>
      <c r="N4" s="11"/>
    </row>
    <row r="5" spans="1:14">
      <c r="A5" s="10" t="s">
        <v>643</v>
      </c>
      <c r="B5" s="9" t="s">
        <v>481</v>
      </c>
      <c r="C5" s="9" t="s">
        <v>644</v>
      </c>
      <c r="D5" s="9" t="s">
        <v>71</v>
      </c>
      <c r="E5" s="9" t="s">
        <v>631</v>
      </c>
      <c r="F5" s="9" t="s">
        <v>645</v>
      </c>
      <c r="G5" s="9" t="s">
        <v>646</v>
      </c>
      <c r="H5" s="9" t="s">
        <v>78</v>
      </c>
      <c r="I5" s="9" t="s">
        <v>647</v>
      </c>
      <c r="J5" s="11"/>
      <c r="K5" s="11" t="s">
        <v>46</v>
      </c>
      <c r="L5" s="11"/>
      <c r="M5" s="11"/>
      <c r="N5" s="11"/>
    </row>
    <row r="6" spans="1:14">
      <c r="A6" s="10" t="s">
        <v>648</v>
      </c>
      <c r="B6" s="9" t="s">
        <v>501</v>
      </c>
      <c r="C6" s="9" t="s">
        <v>649</v>
      </c>
      <c r="D6" s="9" t="s">
        <v>71</v>
      </c>
      <c r="E6" s="9" t="s">
        <v>650</v>
      </c>
      <c r="F6" s="9" t="s">
        <v>78</v>
      </c>
      <c r="G6" s="9" t="s">
        <v>651</v>
      </c>
      <c r="H6" s="9" t="s">
        <v>78</v>
      </c>
      <c r="I6" s="9" t="s">
        <v>652</v>
      </c>
      <c r="J6" s="11"/>
      <c r="K6" s="11" t="s">
        <v>46</v>
      </c>
      <c r="L6" s="11"/>
      <c r="M6" s="11"/>
      <c r="N6" s="11"/>
    </row>
    <row r="7" spans="1:14">
      <c r="A7" s="10" t="s">
        <v>653</v>
      </c>
      <c r="B7" s="9" t="s">
        <v>239</v>
      </c>
      <c r="C7" s="9" t="s">
        <v>654</v>
      </c>
      <c r="D7" s="9" t="s">
        <v>84</v>
      </c>
      <c r="E7" s="9" t="s">
        <v>655</v>
      </c>
      <c r="F7" s="9" t="s">
        <v>656</v>
      </c>
      <c r="G7" s="9" t="s">
        <v>657</v>
      </c>
      <c r="H7" s="9" t="s">
        <v>78</v>
      </c>
      <c r="I7" s="9" t="s">
        <v>658</v>
      </c>
      <c r="J7" s="11"/>
      <c r="K7" s="11" t="s">
        <v>46</v>
      </c>
      <c r="L7" s="11"/>
      <c r="M7" s="11"/>
      <c r="N7" s="11"/>
    </row>
    <row r="8" spans="1:14">
      <c r="A8" s="10" t="s">
        <v>659</v>
      </c>
      <c r="B8" s="9" t="s">
        <v>324</v>
      </c>
      <c r="C8" s="9" t="s">
        <v>660</v>
      </c>
      <c r="D8" s="9" t="s">
        <v>84</v>
      </c>
      <c r="E8" s="9" t="s">
        <v>655</v>
      </c>
      <c r="F8" s="9" t="s">
        <v>661</v>
      </c>
      <c r="G8" s="9" t="s">
        <v>662</v>
      </c>
      <c r="H8" s="9" t="s">
        <v>78</v>
      </c>
      <c r="I8" s="9" t="s">
        <v>663</v>
      </c>
      <c r="J8" s="11"/>
      <c r="K8" s="11" t="s">
        <v>46</v>
      </c>
      <c r="L8" s="11"/>
      <c r="M8" s="11"/>
      <c r="N8" s="11"/>
    </row>
    <row r="9" spans="1:14">
      <c r="A9" s="10" t="s">
        <v>664</v>
      </c>
      <c r="B9" s="9" t="s">
        <v>665</v>
      </c>
      <c r="C9" s="9" t="s">
        <v>666</v>
      </c>
      <c r="D9" s="9" t="s">
        <v>71</v>
      </c>
      <c r="E9" s="9" t="s">
        <v>667</v>
      </c>
      <c r="F9" s="9" t="s">
        <v>204</v>
      </c>
      <c r="G9" s="9" t="s">
        <v>668</v>
      </c>
      <c r="H9" s="9" t="s">
        <v>78</v>
      </c>
      <c r="I9" s="9" t="s">
        <v>669</v>
      </c>
      <c r="J9" s="11"/>
      <c r="K9" s="11" t="s">
        <v>46</v>
      </c>
      <c r="L9" s="11"/>
      <c r="M9" s="11"/>
      <c r="N9" s="11"/>
    </row>
    <row r="10" spans="1:14">
      <c r="A10" s="10" t="s">
        <v>670</v>
      </c>
      <c r="B10" s="9" t="s">
        <v>671</v>
      </c>
      <c r="C10" s="9" t="s">
        <v>672</v>
      </c>
      <c r="D10" s="9" t="s">
        <v>71</v>
      </c>
      <c r="E10" s="9" t="s">
        <v>673</v>
      </c>
      <c r="F10" s="9" t="s">
        <v>78</v>
      </c>
      <c r="G10" s="9" t="s">
        <v>674</v>
      </c>
      <c r="H10" s="9" t="s">
        <v>78</v>
      </c>
      <c r="I10" s="9" t="s">
        <v>675</v>
      </c>
      <c r="J10" s="11"/>
      <c r="K10" s="11" t="s">
        <v>46</v>
      </c>
      <c r="L10" s="11"/>
      <c r="M10" s="11"/>
      <c r="N10" s="11"/>
    </row>
    <row r="11" spans="1:14">
      <c r="A11" s="10" t="s">
        <v>676</v>
      </c>
      <c r="B11" s="9" t="s">
        <v>677</v>
      </c>
      <c r="C11" s="9" t="s">
        <v>678</v>
      </c>
      <c r="D11" s="9" t="s">
        <v>84</v>
      </c>
      <c r="E11" s="9" t="s">
        <v>667</v>
      </c>
      <c r="F11" s="9" t="s">
        <v>190</v>
      </c>
      <c r="G11" s="9" t="s">
        <v>679</v>
      </c>
      <c r="H11" s="9" t="s">
        <v>78</v>
      </c>
      <c r="I11" s="9" t="s">
        <v>680</v>
      </c>
      <c r="J11" s="11"/>
      <c r="K11" s="11" t="s">
        <v>46</v>
      </c>
      <c r="L11" s="11"/>
      <c r="M11" s="11"/>
      <c r="N11" s="11"/>
    </row>
    <row r="12" spans="1:14">
      <c r="A12" s="10" t="s">
        <v>681</v>
      </c>
      <c r="B12" s="9" t="s">
        <v>568</v>
      </c>
      <c r="C12" s="9" t="s">
        <v>682</v>
      </c>
      <c r="D12" s="9" t="s">
        <v>84</v>
      </c>
      <c r="E12" s="9" t="s">
        <v>72</v>
      </c>
      <c r="F12" s="9" t="s">
        <v>131</v>
      </c>
      <c r="G12" s="9" t="s">
        <v>683</v>
      </c>
      <c r="H12" s="9" t="s">
        <v>78</v>
      </c>
      <c r="I12" s="9" t="s">
        <v>684</v>
      </c>
      <c r="J12" s="11"/>
      <c r="K12" s="11" t="s">
        <v>46</v>
      </c>
      <c r="L12" s="11"/>
      <c r="M12" s="11"/>
      <c r="N12" s="11"/>
    </row>
    <row r="13" spans="1:14">
      <c r="A13" s="10" t="s">
        <v>685</v>
      </c>
      <c r="B13" s="9" t="s">
        <v>686</v>
      </c>
      <c r="C13" s="9" t="s">
        <v>687</v>
      </c>
      <c r="D13" s="9" t="s">
        <v>107</v>
      </c>
      <c r="E13" s="9" t="s">
        <v>667</v>
      </c>
      <c r="F13" s="9" t="s">
        <v>688</v>
      </c>
      <c r="G13" s="9" t="s">
        <v>689</v>
      </c>
      <c r="H13" s="9" t="s">
        <v>78</v>
      </c>
      <c r="I13" s="9" t="s">
        <v>690</v>
      </c>
      <c r="J13" s="11"/>
      <c r="K13" s="11" t="s">
        <v>46</v>
      </c>
      <c r="L13" s="11"/>
      <c r="M13" s="11"/>
      <c r="N13" s="11"/>
    </row>
    <row r="14" spans="1:14">
      <c r="A14" s="10" t="s">
        <v>691</v>
      </c>
      <c r="B14" s="9" t="s">
        <v>692</v>
      </c>
      <c r="C14" s="9" t="s">
        <v>693</v>
      </c>
      <c r="D14" s="9" t="s">
        <v>71</v>
      </c>
      <c r="E14" s="9" t="s">
        <v>694</v>
      </c>
      <c r="F14" s="9" t="s">
        <v>695</v>
      </c>
      <c r="G14" s="9" t="s">
        <v>696</v>
      </c>
      <c r="H14" s="9" t="s">
        <v>78</v>
      </c>
      <c r="I14" s="9" t="s">
        <v>697</v>
      </c>
      <c r="J14" s="11"/>
      <c r="K14" s="11" t="s">
        <v>46</v>
      </c>
      <c r="L14" s="11"/>
      <c r="M14" s="11"/>
      <c r="N14" s="11"/>
    </row>
  </sheetData>
  <autoFilter ref="A1:N14"/>
  <conditionalFormatting sqref="K2:K14">
    <cfRule type="containsText" dxfId="0" priority="1" operator="containsText" text="Pass">
      <formula>NOT(ISERROR(SEARCH("Pass",K2)))</formula>
    </cfRule>
    <cfRule type="containsText" dxfId="1" priority="2" operator="containsText" text="Fail">
      <formula>NOT(ISERROR(SEARCH("Fail",K2)))</formula>
    </cfRule>
    <cfRule type="containsText" dxfId="2" priority="3" operator="containsText" text="Blocked">
      <formula>NOT(ISERROR(SEARCH("Blocked",K2)))</formula>
    </cfRule>
  </conditionalFormatting>
  <conditionalFormatting sqref="D2:D14">
    <cfRule type="containsText" dxfId="3" priority="4" operator="containsText" text="Tinggi">
      <formula>NOT(ISERROR(SEARCH("Tinggi",D2)))</formula>
    </cfRule>
    <cfRule type="containsText" dxfId="4" priority="5" operator="containsText" text="Sedang">
      <formula>NOT(ISERROR(SEARCH("Sedang",D2)))</formula>
    </cfRule>
    <cfRule type="containsText" dxfId="5" priority="6" operator="containsText" text="Rendah">
      <formula>NOT(ISERROR(SEARCH("Rendah",D2)))</formula>
    </cfRule>
  </conditionalFormatting>
  <dataValidations count="1">
    <dataValidation type="list" errorStyle="stop" operator="between" allowBlank="0" showDropDown="0" showInputMessage="0" showErrorMessage="1" errorTitle="Status" error="Pilih dari daftar." sqref="K2:K14">
      <formula1>"Belum diuji,Pass,Fail,Blocked"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1"/>
  <sheetViews>
    <sheetView tabSelected="0" workbookViewId="0" showGridLines="true" showRowColHeaders="1">
      <pane xSplit="1" ySplit="1" activePane="bottomRight" state="frozen" topLeftCell="B2"/>
      <selection pane="bottomRight" activeCell="A2" sqref="A2:L101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2" customWidth="true" style="0"/>
    <col min="4" max="4" width="30" customWidth="true" style="0"/>
    <col min="5" max="5" width="44" customWidth="true" style="0"/>
    <col min="6" max="6" width="30" customWidth="true" style="0"/>
    <col min="7" max="7" width="30" customWidth="true" style="0"/>
    <col min="8" max="8" width="12" customWidth="true" style="0"/>
    <col min="9" max="9" width="22" customWidth="true" style="0"/>
    <col min="10" max="10" width="26" customWidth="true" style="0"/>
    <col min="11" max="11" width="14" customWidth="true" style="0"/>
    <col min="12" max="12" width="16" customWidth="true" style="0"/>
  </cols>
  <sheetData>
    <row r="1" spans="1:12">
      <c r="A1" s="12" t="s">
        <v>698</v>
      </c>
      <c r="B1" s="12" t="s">
        <v>699</v>
      </c>
      <c r="C1" s="12" t="s">
        <v>700</v>
      </c>
      <c r="D1" s="12" t="s">
        <v>701</v>
      </c>
      <c r="E1" s="12" t="s">
        <v>702</v>
      </c>
      <c r="F1" s="12" t="s">
        <v>703</v>
      </c>
      <c r="G1" s="12" t="s">
        <v>64</v>
      </c>
      <c r="H1" s="12" t="s">
        <v>704</v>
      </c>
      <c r="I1" s="12" t="s">
        <v>705</v>
      </c>
      <c r="J1" s="12" t="s">
        <v>706</v>
      </c>
      <c r="K1" s="12" t="s">
        <v>707</v>
      </c>
      <c r="L1" s="12" t="s">
        <v>708</v>
      </c>
    </row>
    <row r="2" spans="1:12">
      <c r="A2" s="13" t="s">
        <v>709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>
      <c r="A3" s="13" t="s">
        <v>710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>
      <c r="A4" s="13" t="s">
        <v>711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s="13" t="s">
        <v>712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>
      <c r="A6" s="13" t="s">
        <v>713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>
      <c r="A7" s="13" t="s">
        <v>714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 t="s">
        <v>715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 t="s">
        <v>716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 t="s">
        <v>717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 t="s">
        <v>718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 t="s">
        <v>719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 t="s">
        <v>720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 t="s">
        <v>721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 t="s">
        <v>722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 t="s">
        <v>723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>
      <c r="A17" s="13" t="s">
        <v>724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>
      <c r="A18" s="13" t="s">
        <v>725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>
      <c r="A19" s="13" t="s">
        <v>726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>
      <c r="A20" s="13" t="s">
        <v>727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>
      <c r="A21" s="13" t="s">
        <v>728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>
      <c r="A22" s="13" t="s">
        <v>729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>
      <c r="A23" s="13" t="s">
        <v>730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>
      <c r="A24" s="13" t="s">
        <v>731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>
      <c r="A25" s="13" t="s">
        <v>732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>
      <c r="A26" s="13" t="s">
        <v>733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>
      <c r="A27" s="13" t="s">
        <v>734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>
      <c r="A28" s="13" t="s">
        <v>735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>
      <c r="A29" s="13" t="s">
        <v>736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>
      <c r="A30" s="13" t="s">
        <v>737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>
      <c r="A31" s="13" t="s">
        <v>738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>
      <c r="A32" s="13" t="s">
        <v>739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>
      <c r="A33" s="13" t="s">
        <v>740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>
      <c r="A34" s="13" t="s">
        <v>741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>
      <c r="A35" s="13" t="s">
        <v>742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>
      <c r="A36" s="13" t="s">
        <v>743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>
      <c r="A37" s="13" t="s">
        <v>744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>
      <c r="A38" s="13" t="s">
        <v>745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>
      <c r="A39" s="13" t="s">
        <v>746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>
      <c r="A40" s="13" t="s">
        <v>747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>
      <c r="A41" s="13" t="s">
        <v>748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>
      <c r="A42" s="13" t="s">
        <v>749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>
      <c r="A43" s="13" t="s">
        <v>750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>
      <c r="A44" s="13" t="s">
        <v>751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>
      <c r="A45" s="13" t="s">
        <v>752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>
      <c r="A46" s="13" t="s">
        <v>753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>
      <c r="A47" s="13" t="s">
        <v>754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>
      <c r="A48" s="13" t="s">
        <v>755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>
      <c r="A49" s="13" t="s">
        <v>756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>
      <c r="A50" s="13" t="s">
        <v>757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>
      <c r="A51" s="13" t="s">
        <v>758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>
      <c r="A52" s="13" t="s">
        <v>759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>
      <c r="A53" s="13" t="s">
        <v>760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>
      <c r="A54" s="13" t="s">
        <v>761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>
      <c r="A55" s="13" t="s">
        <v>762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>
      <c r="A56" s="13" t="s">
        <v>763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>
      <c r="A57" s="13" t="s">
        <v>764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>
      <c r="A58" s="13" t="s">
        <v>765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>
      <c r="A59" s="13" t="s">
        <v>766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>
      <c r="A60" s="13" t="s">
        <v>767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>
      <c r="A61" s="13" t="s">
        <v>768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>
      <c r="A62" s="13" t="s">
        <v>769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>
      <c r="A63" s="13" t="s">
        <v>770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>
      <c r="A64" s="13" t="s">
        <v>771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>
      <c r="A65" s="13" t="s">
        <v>772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>
      <c r="A66" s="13" t="s">
        <v>773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>
      <c r="A67" s="13" t="s">
        <v>774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>
      <c r="A68" s="13" t="s">
        <v>775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>
      <c r="A69" s="13" t="s">
        <v>776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>
      <c r="A70" s="13" t="s">
        <v>777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>
      <c r="A71" s="13" t="s">
        <v>778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>
      <c r="A72" s="13" t="s">
        <v>779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>
      <c r="A73" s="13" t="s">
        <v>780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>
      <c r="A74" s="13" t="s">
        <v>781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>
      <c r="A75" s="13" t="s">
        <v>782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>
      <c r="A76" s="13" t="s">
        <v>783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>
      <c r="A77" s="13" t="s">
        <v>784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>
      <c r="A78" s="13" t="s">
        <v>785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>
      <c r="A79" s="13" t="s">
        <v>786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>
      <c r="A80" s="13" t="s">
        <v>787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>
      <c r="A81" s="13" t="s">
        <v>788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>
      <c r="A82" s="13" t="s">
        <v>789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>
      <c r="A83" s="13" t="s">
        <v>790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2">
      <c r="A84" s="13" t="s">
        <v>791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>
      <c r="A85" s="13" t="s">
        <v>792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>
      <c r="A86" s="13" t="s">
        <v>793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>
      <c r="A87" s="13" t="s">
        <v>794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>
      <c r="A88" s="13" t="s">
        <v>795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>
      <c r="A89" s="13" t="s">
        <v>796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>
      <c r="A90" s="13" t="s">
        <v>797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>
      <c r="A91" s="13" t="s">
        <v>798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>
      <c r="A92" s="13" t="s">
        <v>799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>
      <c r="A93" s="13" t="s">
        <v>800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>
      <c r="A94" s="13" t="s">
        <v>801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>
      <c r="A95" s="13" t="s">
        <v>802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>
      <c r="A96" s="13" t="s">
        <v>803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>
      <c r="A97" s="13" t="s">
        <v>804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>
      <c r="A98" s="13" t="s">
        <v>805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spans="1:12">
      <c r="A99" s="13" t="s">
        <v>806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1:12">
      <c r="A100" s="13" t="s">
        <v>807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>
      <c r="A101" s="13" t="s">
        <v>808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</sheetData>
  <dataValidations count="2">
    <dataValidation type="list" errorStyle="stop" operator="between" allowBlank="0" showDropDown="0" showInputMessage="0" showErrorMessage="0" sqref="H2:H101">
      <formula1>"Kritis,Mayor,Minor,Kosmetik"</formula1>
    </dataValidation>
    <dataValidation type="list" errorStyle="stop" operator="between" allowBlank="0" showDropDown="0" showInputMessage="0" showErrorMessage="0" sqref="K2:K101">
      <formula1>"Baru,Diperbaiki,Uji ulang,Selesai,Ditolak"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Petunjuk</vt:lpstr>
      <vt:lpstr>Ringkasan</vt:lpstr>
      <vt:lpstr>Web Admin</vt:lpstr>
      <vt:lpstr>API Mobile</vt:lpstr>
      <vt:lpstr>Laporan</vt:lpstr>
      <vt:lpstr>Skenario Bisnis</vt:lpstr>
      <vt:lpstr>Bug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Presensi Proyek</dc:creator>
  <cp:lastModifiedBy>Unknown Creator</cp:lastModifiedBy>
  <dcterms:created xsi:type="dcterms:W3CDTF">2026-10-02T11:28:34+00:00</dcterms:created>
  <dcterms:modified xsi:type="dcterms:W3CDTF">2026-10-02T11:28:34+00:00</dcterms:modified>
  <dc:title>Skenario Uji QA — Presensi Proyek</dc:title>
  <dc:description/>
  <dc:subject/>
  <cp:keywords/>
  <cp:category/>
</cp:coreProperties>
</file>